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Rinks" sheetId="4" state="visible" r:id="rId4"/>
    <sheet xmlns:r="http://schemas.openxmlformats.org/officeDocument/2006/relationships" name="Schedule" sheetId="5" state="visible" r:id="rId5"/>
  </sheets>
  <definedNames>
    <definedName name="_xlnm._FilterDatabase" localSheetId="4" hidden="1">'Schedule'!$A$4:$K$304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FF003087"/>
      <sz val="16"/>
    </font>
    <font>
      <name val="Arial"/>
      <color rgb="FF1F2933"/>
      <sz val="11"/>
    </font>
    <font>
      <name val="Arial"/>
      <b val="1"/>
      <color rgb="FF1F2933"/>
      <sz val="12"/>
    </font>
    <font>
      <name val="Arial"/>
      <b val="1"/>
      <color rgb="FF003087"/>
      <sz val="12"/>
    </font>
    <font>
      <name val="Arial"/>
      <b val="1"/>
      <color rgb="FF1F2933"/>
      <sz val="14"/>
    </font>
    <font>
      <name val="Arial"/>
      <b val="1"/>
      <color rgb="FFFFFFFF"/>
      <sz val="11"/>
    </font>
    <font>
      <name val="Arial"/>
      <b val="1"/>
      <color rgb="FF1F2933"/>
      <sz val="11"/>
    </font>
    <font>
      <name val="Arial"/>
      <i val="1"/>
      <color rgb="FF7A8894"/>
      <sz val="10"/>
    </font>
    <font>
      <name val="Arial"/>
      <color rgb="FF7A8894"/>
      <sz val="10"/>
    </font>
  </fonts>
  <fills count="6">
    <fill>
      <patternFill/>
    </fill>
    <fill>
      <patternFill patternType="gray125"/>
    </fill>
    <fill>
      <patternFill patternType="solid">
        <fgColor rgb="FF003087"/>
      </patternFill>
    </fill>
    <fill>
      <patternFill patternType="solid">
        <fgColor rgb="FFFFF6D6"/>
      </patternFill>
    </fill>
    <fill>
      <patternFill patternType="solid">
        <fgColor rgb="FFF1F4F7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0" borderId="1" pivotButton="0" quotePrefix="0" xfId="0"/>
    <xf numFmtId="49" fontId="7" fillId="3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left"/>
    </xf>
    <xf numFmtId="0" fontId="2" fillId="3" borderId="1" pivotButton="0" quotePrefix="0" xfId="0"/>
    <xf numFmtId="0" fontId="2" fillId="4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164" fontId="2" fillId="3" borderId="1" pivotButton="0" quotePrefix="0" xfId="0"/>
    <xf numFmtId="49" fontId="2" fillId="3" borderId="1" pivotButton="0" quotePrefix="0" xfId="0"/>
    <xf numFmtId="1" fontId="2" fillId="4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FFDDF3E4"/>
        </patternFill>
      </fill>
    </dxf>
    <dxf>
      <fill>
        <patternFill patternType="solid">
          <fgColor rgb="FFFBD9D9"/>
        </patternFill>
      </fill>
    </dxf>
    <dxf>
      <fill>
        <patternFill patternType="solid">
          <fgColor rgb="FFFDF0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Rink Report — schedule template</t>
        </is>
      </c>
    </row>
    <row r="3">
      <c r="B3" s="2" t="inlineStr"/>
    </row>
    <row r="4">
      <c r="B4" s="2" t="inlineStr">
        <is>
          <t>Fill in three tabs and send the file back. That's the whole job.</t>
        </is>
      </c>
    </row>
    <row r="5">
      <c r="B5" s="2" t="inlineStr"/>
    </row>
    <row r="6">
      <c r="B6" s="3" t="inlineStr">
        <is>
          <t>1. Settings</t>
        </is>
      </c>
    </row>
    <row r="7">
      <c r="B7" s="2" t="inlineStr">
        <is>
          <t xml:space="preserve">    League name, your team's name exactly as it should appear, and the points system.</t>
        </is>
      </c>
    </row>
    <row r="8">
      <c r="B8" s="2" t="inlineStr">
        <is>
          <t xml:space="preserve">    Tiebreak rules: copy whatever the event publishes. Leave it blank for a round robin with</t>
        </is>
      </c>
    </row>
    <row r="9">
      <c r="B9" s="2" t="inlineStr">
        <is>
          <t xml:space="preserve">    no published tiebreakers and teams level on points are shown level, which is the truth.</t>
        </is>
      </c>
    </row>
    <row r="10">
      <c r="B10" s="2" t="inlineStr">
        <is>
          <t xml:space="preserve">    Keep this column all text. If you put numbers in it, Google's reader decides the whole</t>
        </is>
      </c>
    </row>
    <row r="11">
      <c r="B11" s="2" t="inlineStr">
        <is>
          <t xml:space="preserve">    column is numeric and throws away the words. Leave the points cells blank to use 2 / 1 / 0.</t>
        </is>
      </c>
    </row>
    <row r="12">
      <c r="B12" s="2" t="inlineStr"/>
    </row>
    <row r="13">
      <c r="B13" s="3" t="inlineStr">
        <is>
          <t>2. Teams</t>
        </is>
      </c>
    </row>
    <row r="14">
      <c r="B14" s="2" t="inlineStr">
        <is>
          <t xml:space="preserve">    Every team you want in the standings, one per row. Spell each name the same way every</t>
        </is>
      </c>
    </row>
    <row r="15">
      <c r="B15" s="2" t="inlineStr">
        <is>
          <t xml:space="preserve">    time. Fill this tab before the Schedule tab: the team dropdowns read from it.</t>
        </is>
      </c>
    </row>
    <row r="16">
      <c r="B16" s="2" t="inlineStr"/>
    </row>
    <row r="17">
      <c r="B17" s="3" t="inlineStr">
        <is>
          <t>3. Schedule</t>
        </is>
      </c>
    </row>
    <row r="18">
      <c r="B18" s="2" t="inlineStr">
        <is>
          <t xml:space="preserve">    One row per game. Date, face-off time, away team, home team. Everything else optional.</t>
        </is>
      </c>
    </row>
    <row r="19">
      <c r="B19" s="2" t="inlineStr">
        <is>
          <t xml:space="preserve">    Leave the goal columns empty for games that haven't been played.</t>
        </is>
      </c>
    </row>
    <row r="20">
      <c r="B20" s="2" t="inlineStr"/>
    </row>
    <row r="21">
      <c r="B21" s="3" t="inlineStr">
        <is>
          <t>The Event column — this is what splits league play from showcases</t>
        </is>
      </c>
    </row>
    <row r="22">
      <c r="B22" s="2" t="inlineStr">
        <is>
          <t xml:space="preserve">    Leave Event blank for league games.</t>
        </is>
      </c>
    </row>
    <row r="23">
      <c r="B23" s="2" t="inlineStr">
        <is>
          <t xml:space="preserve">    Put the showcase or tournament name in it for those games, spelled the same on every row.</t>
        </is>
      </c>
    </row>
    <row r="24">
      <c r="B24" s="2" t="inlineStr">
        <is>
          <t xml:space="preserve">    The page then shows a tab for each one, and parents tap between League and the showcase.</t>
        </is>
      </c>
    </row>
    <row r="25">
      <c r="B25" s="2" t="inlineStr">
        <is>
          <t xml:space="preserve">    Within a showcase: set Pool / division per game, and set Game type to Bracket for playoff</t>
        </is>
      </c>
    </row>
    <row r="26">
      <c r="B26" s="2" t="inlineStr">
        <is>
          <t xml:space="preserve">    games so they don't move the pool standings.</t>
        </is>
      </c>
    </row>
    <row r="27">
      <c r="B27" s="2" t="inlineStr"/>
    </row>
    <row r="28">
      <c r="B28" s="3" t="inlineStr">
        <is>
          <t>The Check column</t>
        </is>
      </c>
    </row>
    <row r="29">
      <c r="B29" s="2" t="inlineStr">
        <is>
          <t xml:space="preserve">    Watches for the mistakes that actually happen: a team name that isn't on the Teams tab, the</t>
        </is>
      </c>
    </row>
    <row r="30">
      <c r="B30" s="2" t="inlineStr">
        <is>
          <t xml:space="preserve">    same team twice, a missing team, half a score. Get every row to OK. It's a formula.</t>
        </is>
      </c>
    </row>
    <row r="31">
      <c r="B31" s="2" t="inlineStr"/>
    </row>
    <row r="32">
      <c r="B32" s="2" t="inlineStr"/>
    </row>
    <row r="33">
      <c r="B33" s="4" t="inlineStr">
        <is>
          <t>Seven rules. Break one and the page gets it wrong.</t>
        </is>
      </c>
    </row>
    <row r="34">
      <c r="B34" s="2" t="inlineStr">
        <is>
          <t xml:space="preserve">    1. Every game needs a date in column A. No date means the page cannot place the game,</t>
        </is>
      </c>
    </row>
    <row r="35">
      <c r="B35" s="2" t="inlineStr">
        <is>
          <t xml:space="preserve">       so it ignores it completely. This is the most common mistake.</t>
        </is>
      </c>
    </row>
    <row r="36">
      <c r="B36" s="2" t="inlineStr">
        <is>
          <t xml:space="preserve">    2. Team names must match the Teams tab exactly. Use the dropdown in columns C and D</t>
        </is>
      </c>
    </row>
    <row r="37">
      <c r="B37" s="2" t="inlineStr">
        <is>
          <t xml:space="preserve">       and it will. If you rename a team, use Find and replace on the Schedule tab too.</t>
        </is>
      </c>
    </row>
    <row r="38">
      <c r="B38" s="2" t="inlineStr">
        <is>
          <t xml:space="preserve">    3. Both goal columns or neither. One filled in and the game still counts as not played.</t>
        </is>
      </c>
    </row>
    <row r="39">
      <c r="B39" s="2" t="inlineStr">
        <is>
          <t xml:space="preserve">    4. The Event column is all-or-nothing for an event. Any row left blank drops into</t>
        </is>
      </c>
    </row>
    <row r="40">
      <c r="B40" s="2" t="inlineStr">
        <is>
          <t xml:space="preserve">       League play instead of the showcase, and the standings split in two.</t>
        </is>
      </c>
    </row>
    <row r="41">
      <c r="B41" s="2" t="inlineStr">
        <is>
          <t xml:space="preserve">    5. Never rename the Settings, Teams or Schedule tabs. The page finds them by name.</t>
        </is>
      </c>
    </row>
    <row r="42">
      <c r="B42" s="2" t="inlineStr">
        <is>
          <t xml:space="preserve">    6. Keep the Settings answer column all text. A number anywhere in it makes Google</t>
        </is>
      </c>
    </row>
    <row r="43">
      <c r="B43" s="2" t="inlineStr">
        <is>
          <t xml:space="preserve">       decide the whole column is numeric and throw away every word in it.</t>
        </is>
      </c>
    </row>
    <row r="44">
      <c r="B44" s="2" t="inlineStr">
        <is>
          <t xml:space="preserve">    7. Column K has to say OK on every row that has a game in it.</t>
        </is>
      </c>
    </row>
    <row r="45">
      <c r="B45" s="2" t="inlineStr"/>
    </row>
    <row r="46">
      <c r="B46" s="4" t="inlineStr">
        <is>
          <t>The sheet checks all of this for you</t>
        </is>
      </c>
    </row>
    <row r="47">
      <c r="B47" s="2" t="inlineStr">
        <is>
          <t xml:space="preserve">    The Settings tab has a Before you send the link panel that turns red until every line</t>
        </is>
      </c>
    </row>
    <row r="48">
      <c r="B48" s="2" t="inlineStr">
        <is>
          <t xml:space="preserve">       says OK. The Schedule tab shows a running count at the top. Bad cells turn red as</t>
        </is>
      </c>
    </row>
    <row r="49">
      <c r="B49" s="2" t="inlineStr">
        <is>
          <t xml:space="preserve">       you type. You should not have to remember any of the above.</t>
        </is>
      </c>
    </row>
    <row r="50">
      <c r="B50" s="2" t="inlineStr">
        <is>
          <t>The Example tab shows a league season and a showcase weekend side by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6" customWidth="1" min="3" max="3"/>
    <col width="52" customWidth="1" min="4" max="4"/>
    <col width="42" customWidth="1" min="6" max="6"/>
    <col width="46" customWidth="1" min="7" max="7"/>
  </cols>
  <sheetData>
    <row r="1">
      <c r="B1" s="5" t="inlineStr">
        <is>
          <t>Settings</t>
        </is>
      </c>
    </row>
    <row r="3">
      <c r="B3" s="6" t="inlineStr">
        <is>
          <t>Field</t>
        </is>
      </c>
      <c r="C3" s="6" t="inlineStr">
        <is>
          <t>Your answer</t>
        </is>
      </c>
      <c r="D3" s="6" t="inlineStr">
        <is>
          <t>Notes</t>
        </is>
      </c>
      <c r="F3" s="4" t="inlineStr">
        <is>
          <t>Before you send the link to anyone</t>
        </is>
      </c>
    </row>
    <row r="4">
      <c r="B4" s="7" t="inlineStr">
        <is>
          <t>League or showcase name</t>
        </is>
      </c>
      <c r="C4" s="8" t="inlineStr">
        <is>
          <t>Empire Summer League</t>
        </is>
      </c>
      <c r="D4" s="9" t="inlineStr">
        <is>
          <t>the small line above the team name</t>
        </is>
      </c>
      <c r="F4" s="10" t="inlineStr">
        <is>
          <t>These update themselves. Every one has to say OK.</t>
        </is>
      </c>
    </row>
    <row r="5">
      <c r="B5" s="7" t="inlineStr">
        <is>
          <t>Our team</t>
        </is>
      </c>
      <c r="C5" s="8" t="inlineStr">
        <is>
          <t>West Seneca Wings</t>
        </is>
      </c>
      <c r="D5" s="9" t="inlineStr">
        <is>
          <t>must match a name on the Teams tab exactly</t>
        </is>
      </c>
      <c r="F5" s="6" t="inlineStr">
        <is>
          <t>Requirement</t>
        </is>
      </c>
      <c r="G5" s="6" t="inlineStr">
        <is>
          <t>Status</t>
        </is>
      </c>
    </row>
    <row r="6">
      <c r="B6" s="7" t="inlineStr">
        <is>
          <t>Which view opens first</t>
        </is>
      </c>
      <c r="C6" s="8" t="inlineStr">
        <is>
          <t>season</t>
        </is>
      </c>
      <c r="D6" s="9" t="inlineStr">
        <is>
          <t>season  or  showcase</t>
        </is>
      </c>
      <c r="F6" s="7" t="inlineStr">
        <is>
          <t>Your team is filled in</t>
        </is>
      </c>
      <c r="G6" s="11">
        <f>IF(TRIM($C$5)="","FIX - type your team name in C5","OK")</f>
        <v/>
      </c>
    </row>
    <row r="7">
      <c r="B7" s="7" t="inlineStr">
        <is>
          <t>Tiebreak rules</t>
        </is>
      </c>
      <c r="C7" s="8" t="inlineStr"/>
      <c r="D7" s="9" t="inlineStr">
        <is>
          <t>copy the event's published rule: none / goal percentage / usa hockey / differential</t>
        </is>
      </c>
      <c r="F7" s="7" t="inlineStr">
        <is>
          <t>Your team matches the Teams tab exactly</t>
        </is>
      </c>
      <c r="G7" s="11">
        <f>IF(TRIM($C$5)="","FIX - fill in your team first",IF(COUNTIF(Teams!$B$5:$B$204,$C$5)=0,"FIX - that spelling is not on the Teams tab","OK"))</f>
        <v/>
      </c>
    </row>
    <row r="8">
      <c r="B8" s="7" t="inlineStr">
        <is>
          <t>Points for a win</t>
        </is>
      </c>
      <c r="C8" s="8" t="inlineStr"/>
      <c r="D8" s="9" t="inlineStr">
        <is>
          <t>leave blank for 2 — see note on the Start here tab</t>
        </is>
      </c>
      <c r="F8" s="7" t="inlineStr">
        <is>
          <t>Event or league name is filled in</t>
        </is>
      </c>
      <c r="G8" s="11">
        <f>IF(TRIM($C$4)="","FIX - type the event name in C4","OK")</f>
        <v/>
      </c>
    </row>
    <row r="9">
      <c r="B9" s="7" t="inlineStr">
        <is>
          <t>Points for a tie</t>
        </is>
      </c>
      <c r="C9" s="8" t="inlineStr"/>
      <c r="D9" s="9" t="inlineStr">
        <is>
          <t>leave blank for 1</t>
        </is>
      </c>
      <c r="F9" s="7" t="inlineStr">
        <is>
          <t>At least two teams listed</t>
        </is>
      </c>
      <c r="G9" s="11">
        <f>IF(COUNTIF(Teams!$B$5:$B$204,"?*")&lt;2,"FIX - add teams on the Teams tab","OK")</f>
        <v/>
      </c>
    </row>
    <row r="10">
      <c r="B10" s="7" t="inlineStr">
        <is>
          <t>Points for a loss</t>
        </is>
      </c>
      <c r="C10" s="8" t="inlineStr"/>
      <c r="D10" s="9" t="inlineStr">
        <is>
          <t>leave blank for 0</t>
        </is>
      </c>
      <c r="F10" s="7" t="inlineStr">
        <is>
          <t>No team listed twice</t>
        </is>
      </c>
      <c r="G10" s="11">
        <f>IF(SUMPRODUCT((Teams!$B$5:$B$204&lt;&gt;"")*(COUNTIF(Teams!$B$5:$B$204,Teams!$B$5:$B$204&amp;"")&gt;1))&gt;0,"FIX - a team name appears more than once","OK")</f>
        <v/>
      </c>
    </row>
    <row r="11">
      <c r="F11" s="7" t="inlineStr">
        <is>
          <t>At least one game on the Schedule</t>
        </is>
      </c>
      <c r="G11" s="11">
        <f>IF(COUNTIF(Schedule!$C$5:$C$304,"?*")=0,"FIX - add games on the Schedule tab","OK")</f>
        <v/>
      </c>
    </row>
    <row r="12">
      <c r="F12" s="7" t="inlineStr">
        <is>
          <t>Every game has a date</t>
        </is>
      </c>
      <c r="G12" s="11">
        <f>IF(SUMPRODUCT((Schedule!$C$5:$C$304&lt;&gt;"")*(Schedule!$A$5:$A$304=""))&gt;0,SUMPRODUCT((Schedule!$C$5:$C$304&lt;&gt;"")*(Schedule!$A$5:$A$304=""))&amp;" game(s) have no date in column A","OK")</f>
        <v/>
      </c>
    </row>
    <row r="13">
      <c r="F13" s="7" t="inlineStr">
        <is>
          <t>Every Schedule row reads OK in column K</t>
        </is>
      </c>
      <c r="G13" s="11">
        <f>IF(COUNTIF(Schedule!$K$5:$K$304,"OK*")&lt;COUNTIF(Schedule!$C$5:$C$304,"?*"),COUNTIF(Schedule!$C$5:$C$304,"?*")-COUNTIF(Schedule!$K$5:$K$304,"OK*")&amp;" row(s) need attention in column K","OK")</f>
        <v/>
      </c>
    </row>
    <row r="14">
      <c r="F14" s="7" t="inlineStr">
        <is>
          <t>No game left out of its event</t>
        </is>
      </c>
      <c r="G14" s="11">
        <f>IF(SUMPRODUCT((Schedule!$A$5:$A$304&lt;&gt;"")*(Schedule!$J$5:$J$304="")*(COUNTIFS(Schedule!$A$5:$A$304,Schedule!$A$5:$A$304,Schedule!$J$5:$J$304,"?*")&gt;0))&gt;0,"FIX - a game sits on an event day with a blank Event cell","OK")</f>
        <v/>
      </c>
    </row>
  </sheetData>
  <conditionalFormatting sqref="G6:G14">
    <cfRule type="expression" priority="1" dxfId="0" stopIfTrue="0">
      <formula>LEFT(G6,2)="OK"</formula>
    </cfRule>
    <cfRule type="expression" priority="2" dxfId="1" stopIfTrue="0">
      <formula>AND(G6&lt;&gt;"",LEFT(G6,2)&lt;&gt;"OK")</formula>
    </cfRule>
  </conditionalFormatting>
  <dataValidations count="2">
    <dataValidation sqref="C6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"season,showcase"</formula1>
    </dataValidation>
    <dataValidation sqref="C7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"none,goal percentage,usa hockey,differential"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38" customWidth="1" min="4" max="4"/>
  </cols>
  <sheetData>
    <row r="1">
      <c r="B1" s="5" t="inlineStr">
        <is>
          <t>Teams</t>
        </is>
      </c>
    </row>
    <row r="2">
      <c r="B2" s="10" t="inlineStr">
        <is>
          <t>One row per team. Fill this in before the Schedule tab.</t>
        </is>
      </c>
    </row>
    <row r="4">
      <c r="B4" s="6" t="inlineStr">
        <is>
          <t>Team name</t>
        </is>
      </c>
      <c r="C4" s="6" t="inlineStr">
        <is>
          <t>Pool / division</t>
        </is>
      </c>
      <c r="D4" s="6" t="inlineStr">
        <is>
          <t>Notes</t>
        </is>
      </c>
      <c r="E4" s="6" t="inlineStr">
        <is>
          <t>Also known as</t>
        </is>
      </c>
    </row>
    <row r="5">
      <c r="B5" s="12" t="inlineStr">
        <is>
          <t>West Seneca Wings</t>
        </is>
      </c>
      <c r="C5" s="13" t="n"/>
      <c r="D5" s="13" t="n"/>
      <c r="E5" s="13" t="n"/>
    </row>
    <row r="6">
      <c r="B6" s="12" t="inlineStr">
        <is>
          <t>Amherst Knights</t>
        </is>
      </c>
      <c r="C6" s="13" t="n"/>
      <c r="D6" s="13" t="n"/>
      <c r="E6" s="13" t="n"/>
    </row>
    <row r="7">
      <c r="B7" s="12" t="inlineStr">
        <is>
          <t>Buffalo Regals</t>
        </is>
      </c>
      <c r="C7" s="13" t="n"/>
      <c r="D7" s="13" t="n"/>
      <c r="E7" s="13" t="n"/>
    </row>
    <row r="8">
      <c r="B8" s="12" t="inlineStr">
        <is>
          <t>Cheektowaga Warriors</t>
        </is>
      </c>
      <c r="C8" s="13" t="n"/>
      <c r="D8" s="13" t="n"/>
      <c r="E8" s="13" t="n"/>
    </row>
    <row r="9">
      <c r="B9" s="12" t="inlineStr">
        <is>
          <t>Southtowns Stars</t>
        </is>
      </c>
      <c r="C9" s="13" t="n"/>
      <c r="D9" s="13" t="n"/>
      <c r="E9" s="13" t="n"/>
    </row>
    <row r="10">
      <c r="B10" s="12" t="inlineStr">
        <is>
          <t>Depew Saints</t>
        </is>
      </c>
      <c r="C10" s="13" t="n"/>
      <c r="D10" s="13" t="n"/>
      <c r="E10" s="13" t="n"/>
    </row>
    <row r="11">
      <c r="B11" s="12" t="inlineStr">
        <is>
          <t>Niagara Jr Purple Eagles</t>
        </is>
      </c>
      <c r="C11" s="13" t="n"/>
      <c r="D11" s="13" t="n"/>
      <c r="E11" s="13" t="n"/>
    </row>
    <row r="12">
      <c r="B12" s="12" t="inlineStr">
        <is>
          <t>Hamburg Hawks</t>
        </is>
      </c>
      <c r="C12" s="13" t="n"/>
      <c r="D12" s="13" t="n"/>
      <c r="E12" s="13" t="n"/>
    </row>
    <row r="13">
      <c r="B13" s="12" t="n"/>
      <c r="C13" s="13" t="n"/>
      <c r="D13" s="13" t="n"/>
      <c r="E13" s="13" t="n"/>
    </row>
    <row r="14">
      <c r="B14" s="12" t="n"/>
      <c r="C14" s="13" t="n"/>
      <c r="D14" s="13" t="n"/>
      <c r="E14" s="13" t="n"/>
    </row>
    <row r="15">
      <c r="B15" s="12" t="n"/>
      <c r="C15" s="13" t="n"/>
      <c r="D15" s="13" t="n"/>
      <c r="E15" s="13" t="n"/>
    </row>
    <row r="16">
      <c r="B16" s="12" t="n"/>
      <c r="C16" s="13" t="n"/>
      <c r="D16" s="13" t="n"/>
      <c r="E16" s="13" t="n"/>
    </row>
    <row r="17">
      <c r="B17" s="12" t="n"/>
      <c r="C17" s="13" t="n"/>
      <c r="D17" s="13" t="n"/>
      <c r="E17" s="13" t="n"/>
    </row>
    <row r="18">
      <c r="B18" s="12" t="n"/>
      <c r="C18" s="13" t="n"/>
      <c r="D18" s="13" t="n"/>
      <c r="E18" s="13" t="n"/>
    </row>
    <row r="19">
      <c r="B19" s="12" t="n"/>
      <c r="C19" s="13" t="n"/>
      <c r="D19" s="13" t="n"/>
      <c r="E19" s="13" t="n"/>
    </row>
    <row r="20">
      <c r="B20" s="12" t="n"/>
      <c r="C20" s="13" t="n"/>
      <c r="D20" s="13" t="n"/>
      <c r="E20" s="13" t="n"/>
    </row>
    <row r="21">
      <c r="B21" s="12" t="n"/>
      <c r="C21" s="13" t="n"/>
      <c r="D21" s="13" t="n"/>
      <c r="E21" s="13" t="n"/>
    </row>
    <row r="22">
      <c r="B22" s="12" t="n"/>
      <c r="C22" s="13" t="n"/>
      <c r="D22" s="13" t="n"/>
      <c r="E22" s="13" t="n"/>
    </row>
    <row r="23">
      <c r="B23" s="12" t="n"/>
      <c r="C23" s="13" t="n"/>
      <c r="D23" s="13" t="n"/>
      <c r="E23" s="13" t="n"/>
    </row>
    <row r="24">
      <c r="B24" s="12" t="n"/>
      <c r="C24" s="13" t="n"/>
      <c r="D24" s="13" t="n"/>
      <c r="E24" s="13" t="n"/>
    </row>
    <row r="25">
      <c r="B25" s="12" t="n"/>
      <c r="C25" s="13" t="n"/>
      <c r="D25" s="13" t="n"/>
      <c r="E25" s="13" t="n"/>
    </row>
    <row r="26">
      <c r="B26" s="12" t="n"/>
      <c r="C26" s="13" t="n"/>
      <c r="D26" s="13" t="n"/>
      <c r="E26" s="13" t="n"/>
    </row>
    <row r="27">
      <c r="B27" s="12" t="n"/>
      <c r="C27" s="13" t="n"/>
      <c r="D27" s="13" t="n"/>
      <c r="E27" s="13" t="n"/>
    </row>
    <row r="28">
      <c r="B28" s="12" t="n"/>
      <c r="C28" s="13" t="n"/>
      <c r="D28" s="13" t="n"/>
      <c r="E28" s="13" t="n"/>
    </row>
    <row r="29">
      <c r="B29" s="12" t="n"/>
      <c r="C29" s="13" t="n"/>
      <c r="D29" s="13" t="n"/>
      <c r="E29" s="13" t="n"/>
    </row>
    <row r="30">
      <c r="B30" s="12" t="n"/>
      <c r="C30" s="13" t="n"/>
      <c r="D30" s="13" t="n"/>
      <c r="E30" s="13" t="n"/>
    </row>
    <row r="31">
      <c r="B31" s="12" t="n"/>
      <c r="C31" s="13" t="n"/>
      <c r="D31" s="13" t="n"/>
      <c r="E31" s="13" t="n"/>
    </row>
    <row r="32">
      <c r="B32" s="12" t="n"/>
      <c r="C32" s="13" t="n"/>
      <c r="D32" s="13" t="n"/>
      <c r="E32" s="13" t="n"/>
    </row>
    <row r="33">
      <c r="B33" s="12" t="n"/>
      <c r="C33" s="13" t="n"/>
      <c r="D33" s="13" t="n"/>
      <c r="E33" s="13" t="n"/>
    </row>
    <row r="34">
      <c r="B34" s="12" t="n"/>
      <c r="C34" s="13" t="n"/>
      <c r="D34" s="13" t="n"/>
      <c r="E34" s="13" t="n"/>
    </row>
    <row r="35">
      <c r="B35" s="12" t="n"/>
      <c r="C35" s="13" t="n"/>
      <c r="D35" s="13" t="n"/>
      <c r="E35" s="13" t="n"/>
    </row>
    <row r="36">
      <c r="B36" s="12" t="n"/>
      <c r="C36" s="13" t="n"/>
      <c r="D36" s="13" t="n"/>
      <c r="E36" s="13" t="n"/>
    </row>
    <row r="37">
      <c r="B37" s="12" t="n"/>
      <c r="C37" s="13" t="n"/>
      <c r="D37" s="13" t="n"/>
      <c r="E37" s="13" t="n"/>
    </row>
    <row r="38">
      <c r="B38" s="12" t="n"/>
      <c r="C38" s="13" t="n"/>
      <c r="D38" s="13" t="n"/>
      <c r="E38" s="13" t="n"/>
    </row>
    <row r="39">
      <c r="B39" s="12" t="n"/>
      <c r="C39" s="13" t="n"/>
      <c r="D39" s="13" t="n"/>
      <c r="E39" s="13" t="n"/>
    </row>
    <row r="40">
      <c r="B40" s="12" t="n"/>
      <c r="C40" s="13" t="n"/>
      <c r="D40" s="13" t="n"/>
      <c r="E40" s="13" t="n"/>
    </row>
    <row r="41">
      <c r="B41" s="12" t="n"/>
      <c r="C41" s="13" t="n"/>
      <c r="D41" s="13" t="n"/>
      <c r="E41" s="13" t="n"/>
    </row>
    <row r="42">
      <c r="B42" s="12" t="n"/>
      <c r="C42" s="13" t="n"/>
      <c r="D42" s="13" t="n"/>
      <c r="E42" s="13" t="n"/>
    </row>
    <row r="43">
      <c r="B43" s="12" t="n"/>
      <c r="C43" s="13" t="n"/>
      <c r="D43" s="13" t="n"/>
      <c r="E43" s="13" t="n"/>
    </row>
    <row r="44">
      <c r="B44" s="12" t="n"/>
      <c r="C44" s="13" t="n"/>
      <c r="D44" s="13" t="n"/>
      <c r="E44" s="13" t="n"/>
    </row>
    <row r="45">
      <c r="B45" s="12" t="n"/>
      <c r="C45" s="13" t="n"/>
      <c r="D45" s="13" t="n"/>
      <c r="E45" s="13" t="n"/>
    </row>
    <row r="46">
      <c r="B46" s="12" t="n"/>
      <c r="C46" s="13" t="n"/>
      <c r="D46" s="13" t="n"/>
      <c r="E46" s="13" t="n"/>
    </row>
    <row r="47">
      <c r="B47" s="12" t="n"/>
      <c r="C47" s="13" t="n"/>
      <c r="D47" s="13" t="n"/>
      <c r="E47" s="13" t="n"/>
    </row>
    <row r="48">
      <c r="B48" s="12" t="n"/>
      <c r="C48" s="13" t="n"/>
      <c r="D48" s="13" t="n"/>
      <c r="E48" s="13" t="n"/>
    </row>
    <row r="49">
      <c r="B49" s="12" t="n"/>
      <c r="C49" s="13" t="n"/>
      <c r="D49" s="13" t="n"/>
      <c r="E49" s="13" t="n"/>
    </row>
    <row r="50">
      <c r="B50" s="12" t="n"/>
      <c r="C50" s="13" t="n"/>
      <c r="D50" s="13" t="n"/>
      <c r="E50" s="13" t="n"/>
    </row>
    <row r="51">
      <c r="B51" s="12" t="n"/>
      <c r="C51" s="13" t="n"/>
      <c r="D51" s="13" t="n"/>
      <c r="E51" s="13" t="n"/>
    </row>
    <row r="52">
      <c r="B52" s="12" t="n"/>
      <c r="C52" s="13" t="n"/>
      <c r="D52" s="13" t="n"/>
      <c r="E52" s="13" t="n"/>
    </row>
    <row r="53">
      <c r="B53" s="12" t="n"/>
      <c r="C53" s="13" t="n"/>
      <c r="D53" s="13" t="n"/>
      <c r="E53" s="13" t="n"/>
    </row>
    <row r="54">
      <c r="B54" s="12" t="n"/>
      <c r="C54" s="13" t="n"/>
      <c r="D54" s="13" t="n"/>
      <c r="E54" s="13" t="n"/>
    </row>
    <row r="55">
      <c r="B55" s="12" t="n"/>
      <c r="C55" s="13" t="n"/>
      <c r="D55" s="13" t="n"/>
      <c r="E55" s="13" t="n"/>
    </row>
    <row r="56">
      <c r="B56" s="12" t="n"/>
      <c r="C56" s="13" t="n"/>
      <c r="D56" s="13" t="n"/>
      <c r="E56" s="13" t="n"/>
    </row>
    <row r="57">
      <c r="B57" s="12" t="n"/>
      <c r="C57" s="13" t="n"/>
      <c r="D57" s="13" t="n"/>
      <c r="E57" s="13" t="n"/>
    </row>
    <row r="58">
      <c r="B58" s="12" t="n"/>
      <c r="C58" s="13" t="n"/>
      <c r="D58" s="13" t="n"/>
      <c r="E58" s="13" t="n"/>
    </row>
    <row r="59">
      <c r="B59" s="12" t="n"/>
      <c r="C59" s="13" t="n"/>
      <c r="D59" s="13" t="n"/>
      <c r="E59" s="13" t="n"/>
    </row>
    <row r="60">
      <c r="B60" s="12" t="n"/>
      <c r="C60" s="13" t="n"/>
      <c r="D60" s="13" t="n"/>
      <c r="E60" s="13" t="n"/>
    </row>
    <row r="61">
      <c r="B61" s="12" t="n"/>
      <c r="C61" s="13" t="n"/>
      <c r="D61" s="13" t="n"/>
      <c r="E61" s="13" t="n"/>
    </row>
    <row r="62">
      <c r="B62" s="12" t="n"/>
      <c r="C62" s="13" t="n"/>
      <c r="D62" s="13" t="n"/>
      <c r="E62" s="13" t="n"/>
    </row>
    <row r="63">
      <c r="B63" s="12" t="n"/>
      <c r="C63" s="13" t="n"/>
      <c r="D63" s="13" t="n"/>
      <c r="E63" s="13" t="n"/>
    </row>
    <row r="64">
      <c r="B64" s="12" t="n"/>
      <c r="C64" s="13" t="n"/>
      <c r="D64" s="13" t="n"/>
      <c r="E64" s="13" t="n"/>
    </row>
    <row r="65">
      <c r="B65" s="12" t="n"/>
      <c r="C65" s="13" t="n"/>
      <c r="D65" s="13" t="n"/>
      <c r="E65" s="13" t="n"/>
    </row>
    <row r="66">
      <c r="B66" s="12" t="n"/>
      <c r="C66" s="13" t="n"/>
      <c r="D66" s="13" t="n"/>
      <c r="E66" s="13" t="n"/>
    </row>
    <row r="67">
      <c r="B67" s="12" t="n"/>
      <c r="C67" s="13" t="n"/>
      <c r="D67" s="13" t="n"/>
      <c r="E67" s="13" t="n"/>
    </row>
    <row r="68">
      <c r="B68" s="12" t="n"/>
      <c r="C68" s="13" t="n"/>
      <c r="D68" s="13" t="n"/>
      <c r="E68" s="13" t="n"/>
    </row>
    <row r="69">
      <c r="B69" s="12" t="n"/>
      <c r="C69" s="13" t="n"/>
      <c r="D69" s="13" t="n"/>
      <c r="E69" s="13" t="n"/>
    </row>
    <row r="70">
      <c r="B70" s="12" t="n"/>
      <c r="C70" s="13" t="n"/>
      <c r="D70" s="13" t="n"/>
      <c r="E70" s="13" t="n"/>
    </row>
    <row r="71">
      <c r="B71" s="12" t="n"/>
      <c r="C71" s="13" t="n"/>
      <c r="D71" s="13" t="n"/>
      <c r="E71" s="13" t="n"/>
    </row>
    <row r="72">
      <c r="B72" s="12" t="n"/>
      <c r="C72" s="13" t="n"/>
      <c r="D72" s="13" t="n"/>
      <c r="E72" s="13" t="n"/>
    </row>
    <row r="73">
      <c r="B73" s="12" t="n"/>
      <c r="C73" s="13" t="n"/>
      <c r="D73" s="13" t="n"/>
      <c r="E73" s="13" t="n"/>
    </row>
    <row r="74">
      <c r="B74" s="12" t="n"/>
      <c r="C74" s="13" t="n"/>
      <c r="D74" s="13" t="n"/>
      <c r="E74" s="13" t="n"/>
    </row>
    <row r="75">
      <c r="B75" s="12" t="n"/>
      <c r="C75" s="13" t="n"/>
      <c r="D75" s="13" t="n"/>
      <c r="E75" s="13" t="n"/>
    </row>
    <row r="76">
      <c r="B76" s="12" t="n"/>
      <c r="C76" s="13" t="n"/>
      <c r="D76" s="13" t="n"/>
      <c r="E76" s="13" t="n"/>
    </row>
    <row r="77">
      <c r="B77" s="12" t="n"/>
      <c r="C77" s="13" t="n"/>
      <c r="D77" s="13" t="n"/>
      <c r="E77" s="13" t="n"/>
    </row>
    <row r="78">
      <c r="B78" s="12" t="n"/>
      <c r="C78" s="13" t="n"/>
      <c r="D78" s="13" t="n"/>
      <c r="E78" s="13" t="n"/>
    </row>
    <row r="79">
      <c r="B79" s="12" t="n"/>
      <c r="C79" s="13" t="n"/>
      <c r="D79" s="13" t="n"/>
      <c r="E79" s="13" t="n"/>
    </row>
    <row r="80">
      <c r="B80" s="12" t="n"/>
      <c r="C80" s="13" t="n"/>
      <c r="D80" s="13" t="n"/>
      <c r="E80" s="13" t="n"/>
    </row>
    <row r="81">
      <c r="B81" s="12" t="n"/>
      <c r="C81" s="13" t="n"/>
      <c r="D81" s="13" t="n"/>
      <c r="E81" s="13" t="n"/>
    </row>
    <row r="82">
      <c r="B82" s="12" t="n"/>
      <c r="C82" s="13" t="n"/>
      <c r="D82" s="13" t="n"/>
      <c r="E82" s="13" t="n"/>
    </row>
    <row r="83">
      <c r="B83" s="12" t="n"/>
      <c r="C83" s="13" t="n"/>
      <c r="D83" s="13" t="n"/>
      <c r="E83" s="13" t="n"/>
    </row>
    <row r="84">
      <c r="B84" s="12" t="n"/>
      <c r="C84" s="13" t="n"/>
      <c r="D84" s="13" t="n"/>
      <c r="E84" s="13" t="n"/>
    </row>
    <row r="85">
      <c r="B85" s="12" t="n"/>
      <c r="C85" s="13" t="n"/>
      <c r="D85" s="13" t="n"/>
      <c r="E85" s="13" t="n"/>
    </row>
    <row r="86">
      <c r="B86" s="12" t="n"/>
      <c r="C86" s="13" t="n"/>
      <c r="D86" s="13" t="n"/>
      <c r="E86" s="13" t="n"/>
    </row>
    <row r="87">
      <c r="B87" s="12" t="n"/>
      <c r="C87" s="13" t="n"/>
      <c r="D87" s="13" t="n"/>
      <c r="E87" s="13" t="n"/>
    </row>
    <row r="88">
      <c r="B88" s="12" t="n"/>
      <c r="C88" s="13" t="n"/>
      <c r="D88" s="13" t="n"/>
      <c r="E88" s="13" t="n"/>
    </row>
    <row r="89">
      <c r="B89" s="12" t="n"/>
      <c r="C89" s="13" t="n"/>
      <c r="D89" s="13" t="n"/>
      <c r="E89" s="13" t="n"/>
    </row>
    <row r="90">
      <c r="B90" s="12" t="n"/>
      <c r="C90" s="13" t="n"/>
      <c r="D90" s="13" t="n"/>
      <c r="E90" s="13" t="n"/>
    </row>
    <row r="91">
      <c r="B91" s="12" t="n"/>
      <c r="C91" s="13" t="n"/>
      <c r="D91" s="13" t="n"/>
      <c r="E91" s="13" t="n"/>
    </row>
    <row r="92">
      <c r="B92" s="12" t="n"/>
      <c r="C92" s="13" t="n"/>
      <c r="D92" s="13" t="n"/>
      <c r="E92" s="13" t="n"/>
    </row>
    <row r="93">
      <c r="B93" s="12" t="n"/>
      <c r="C93" s="13" t="n"/>
      <c r="D93" s="13" t="n"/>
      <c r="E93" s="13" t="n"/>
    </row>
    <row r="94">
      <c r="B94" s="12" t="n"/>
      <c r="C94" s="13" t="n"/>
      <c r="D94" s="13" t="n"/>
      <c r="E94" s="13" t="n"/>
    </row>
    <row r="95">
      <c r="B95" s="12" t="n"/>
      <c r="C95" s="13" t="n"/>
      <c r="D95" s="13" t="n"/>
      <c r="E95" s="13" t="n"/>
    </row>
    <row r="96">
      <c r="B96" s="12" t="n"/>
      <c r="C96" s="13" t="n"/>
      <c r="D96" s="13" t="n"/>
      <c r="E96" s="13" t="n"/>
    </row>
    <row r="97">
      <c r="B97" s="12" t="n"/>
      <c r="C97" s="13" t="n"/>
      <c r="D97" s="13" t="n"/>
      <c r="E97" s="13" t="n"/>
    </row>
    <row r="98">
      <c r="B98" s="12" t="n"/>
      <c r="C98" s="13" t="n"/>
      <c r="D98" s="13" t="n"/>
      <c r="E98" s="13" t="n"/>
    </row>
    <row r="99">
      <c r="B99" s="12" t="n"/>
      <c r="C99" s="13" t="n"/>
      <c r="D99" s="13" t="n"/>
      <c r="E99" s="13" t="n"/>
    </row>
    <row r="100">
      <c r="B100" s="12" t="n"/>
      <c r="C100" s="13" t="n"/>
      <c r="D100" s="13" t="n"/>
      <c r="E100" s="13" t="n"/>
    </row>
    <row r="101">
      <c r="B101" s="12" t="n"/>
      <c r="C101" s="13" t="n"/>
      <c r="D101" s="13" t="n"/>
      <c r="E101" s="13" t="n"/>
    </row>
    <row r="102">
      <c r="B102" s="12" t="n"/>
      <c r="C102" s="13" t="n"/>
      <c r="D102" s="13" t="n"/>
      <c r="E102" s="13" t="n"/>
    </row>
    <row r="103">
      <c r="B103" s="12" t="n"/>
      <c r="C103" s="13" t="n"/>
      <c r="D103" s="13" t="n"/>
      <c r="E103" s="13" t="n"/>
    </row>
    <row r="104">
      <c r="B104" s="12" t="n"/>
      <c r="C104" s="13" t="n"/>
      <c r="D104" s="13" t="n"/>
      <c r="E104" s="13" t="n"/>
    </row>
    <row r="105">
      <c r="B105" s="12" t="n"/>
      <c r="C105" s="13" t="n"/>
      <c r="D105" s="13" t="n"/>
      <c r="E105" s="13" t="n"/>
    </row>
    <row r="106">
      <c r="B106" s="12" t="n"/>
      <c r="C106" s="13" t="n"/>
      <c r="D106" s="13" t="n"/>
      <c r="E106" s="13" t="n"/>
    </row>
    <row r="107">
      <c r="B107" s="12" t="n"/>
      <c r="C107" s="13" t="n"/>
      <c r="D107" s="13" t="n"/>
      <c r="E107" s="13" t="n"/>
    </row>
    <row r="108">
      <c r="B108" s="12" t="n"/>
      <c r="C108" s="13" t="n"/>
      <c r="D108" s="13" t="n"/>
      <c r="E108" s="13" t="n"/>
    </row>
    <row r="109">
      <c r="B109" s="12" t="n"/>
      <c r="C109" s="13" t="n"/>
      <c r="D109" s="13" t="n"/>
      <c r="E109" s="13" t="n"/>
    </row>
    <row r="110">
      <c r="B110" s="12" t="n"/>
      <c r="C110" s="13" t="n"/>
      <c r="D110" s="13" t="n"/>
      <c r="E110" s="13" t="n"/>
    </row>
    <row r="111">
      <c r="B111" s="12" t="n"/>
      <c r="C111" s="13" t="n"/>
      <c r="D111" s="13" t="n"/>
      <c r="E111" s="13" t="n"/>
    </row>
    <row r="112">
      <c r="B112" s="12" t="n"/>
      <c r="C112" s="13" t="n"/>
      <c r="D112" s="13" t="n"/>
      <c r="E112" s="13" t="n"/>
    </row>
    <row r="113">
      <c r="B113" s="12" t="n"/>
      <c r="C113" s="13" t="n"/>
      <c r="D113" s="13" t="n"/>
      <c r="E113" s="13" t="n"/>
    </row>
    <row r="114">
      <c r="B114" s="12" t="n"/>
      <c r="C114" s="13" t="n"/>
      <c r="D114" s="13" t="n"/>
      <c r="E114" s="13" t="n"/>
    </row>
    <row r="115">
      <c r="B115" s="12" t="n"/>
      <c r="C115" s="13" t="n"/>
      <c r="D115" s="13" t="n"/>
      <c r="E115" s="13" t="n"/>
    </row>
    <row r="116">
      <c r="B116" s="12" t="n"/>
      <c r="C116" s="13" t="n"/>
      <c r="D116" s="13" t="n"/>
      <c r="E116" s="13" t="n"/>
    </row>
    <row r="117">
      <c r="B117" s="12" t="n"/>
      <c r="C117" s="13" t="n"/>
      <c r="D117" s="13" t="n"/>
      <c r="E117" s="13" t="n"/>
    </row>
    <row r="118">
      <c r="B118" s="12" t="n"/>
      <c r="C118" s="13" t="n"/>
      <c r="D118" s="13" t="n"/>
      <c r="E118" s="13" t="n"/>
    </row>
    <row r="119">
      <c r="B119" s="12" t="n"/>
      <c r="C119" s="13" t="n"/>
      <c r="D119" s="13" t="n"/>
      <c r="E119" s="13" t="n"/>
    </row>
    <row r="120">
      <c r="B120" s="12" t="n"/>
      <c r="C120" s="13" t="n"/>
      <c r="D120" s="13" t="n"/>
      <c r="E120" s="13" t="n"/>
    </row>
    <row r="121">
      <c r="B121" s="12" t="n"/>
      <c r="C121" s="13" t="n"/>
      <c r="D121" s="13" t="n"/>
      <c r="E121" s="13" t="n"/>
    </row>
    <row r="122">
      <c r="B122" s="12" t="n"/>
      <c r="C122" s="13" t="n"/>
      <c r="D122" s="13" t="n"/>
      <c r="E122" s="13" t="n"/>
    </row>
    <row r="123">
      <c r="B123" s="12" t="n"/>
      <c r="C123" s="13" t="n"/>
      <c r="D123" s="13" t="n"/>
      <c r="E123" s="13" t="n"/>
    </row>
    <row r="124">
      <c r="B124" s="12" t="n"/>
      <c r="C124" s="13" t="n"/>
      <c r="D124" s="13" t="n"/>
      <c r="E124" s="13" t="n"/>
    </row>
    <row r="125">
      <c r="B125" s="12" t="n"/>
      <c r="C125" s="13" t="n"/>
      <c r="D125" s="13" t="n"/>
      <c r="E125" s="13" t="n"/>
    </row>
    <row r="126">
      <c r="B126" s="12" t="n"/>
      <c r="C126" s="13" t="n"/>
      <c r="D126" s="13" t="n"/>
      <c r="E126" s="13" t="n"/>
    </row>
    <row r="127">
      <c r="B127" s="12" t="n"/>
      <c r="C127" s="13" t="n"/>
      <c r="D127" s="13" t="n"/>
      <c r="E127" s="13" t="n"/>
    </row>
    <row r="128">
      <c r="B128" s="12" t="n"/>
      <c r="C128" s="13" t="n"/>
      <c r="D128" s="13" t="n"/>
      <c r="E128" s="13" t="n"/>
    </row>
    <row r="129">
      <c r="B129" s="12" t="n"/>
      <c r="C129" s="13" t="n"/>
      <c r="D129" s="13" t="n"/>
      <c r="E129" s="13" t="n"/>
    </row>
    <row r="130">
      <c r="B130" s="12" t="n"/>
      <c r="C130" s="13" t="n"/>
      <c r="D130" s="13" t="n"/>
      <c r="E130" s="13" t="n"/>
    </row>
    <row r="131">
      <c r="B131" s="12" t="n"/>
      <c r="C131" s="13" t="n"/>
      <c r="D131" s="13" t="n"/>
      <c r="E131" s="13" t="n"/>
    </row>
    <row r="132">
      <c r="B132" s="12" t="n"/>
      <c r="C132" s="13" t="n"/>
      <c r="D132" s="13" t="n"/>
      <c r="E132" s="13" t="n"/>
    </row>
    <row r="133">
      <c r="B133" s="12" t="n"/>
      <c r="C133" s="13" t="n"/>
      <c r="D133" s="13" t="n"/>
      <c r="E133" s="13" t="n"/>
    </row>
    <row r="134">
      <c r="B134" s="12" t="n"/>
      <c r="C134" s="13" t="n"/>
      <c r="D134" s="13" t="n"/>
      <c r="E134" s="13" t="n"/>
    </row>
    <row r="135">
      <c r="B135" s="12" t="n"/>
      <c r="C135" s="13" t="n"/>
      <c r="D135" s="13" t="n"/>
      <c r="E135" s="13" t="n"/>
    </row>
    <row r="136">
      <c r="B136" s="12" t="n"/>
      <c r="C136" s="13" t="n"/>
      <c r="D136" s="13" t="n"/>
      <c r="E136" s="13" t="n"/>
    </row>
    <row r="137">
      <c r="B137" s="12" t="n"/>
      <c r="C137" s="13" t="n"/>
      <c r="D137" s="13" t="n"/>
      <c r="E137" s="13" t="n"/>
    </row>
    <row r="138">
      <c r="B138" s="12" t="n"/>
      <c r="C138" s="13" t="n"/>
      <c r="D138" s="13" t="n"/>
      <c r="E138" s="13" t="n"/>
    </row>
    <row r="139">
      <c r="B139" s="12" t="n"/>
      <c r="C139" s="13" t="n"/>
      <c r="D139" s="13" t="n"/>
      <c r="E139" s="13" t="n"/>
    </row>
    <row r="140">
      <c r="B140" s="12" t="n"/>
      <c r="C140" s="13" t="n"/>
      <c r="D140" s="13" t="n"/>
      <c r="E140" s="13" t="n"/>
    </row>
    <row r="141">
      <c r="B141" s="12" t="n"/>
      <c r="C141" s="13" t="n"/>
      <c r="D141" s="13" t="n"/>
      <c r="E141" s="13" t="n"/>
    </row>
    <row r="142">
      <c r="B142" s="12" t="n"/>
      <c r="C142" s="13" t="n"/>
      <c r="D142" s="13" t="n"/>
      <c r="E142" s="13" t="n"/>
    </row>
    <row r="143">
      <c r="B143" s="12" t="n"/>
      <c r="C143" s="13" t="n"/>
      <c r="D143" s="13" t="n"/>
      <c r="E143" s="13" t="n"/>
    </row>
    <row r="144">
      <c r="B144" s="12" t="n"/>
      <c r="C144" s="13" t="n"/>
      <c r="D144" s="13" t="n"/>
      <c r="E144" s="13" t="n"/>
    </row>
    <row r="145">
      <c r="B145" s="12" t="n"/>
      <c r="C145" s="13" t="n"/>
      <c r="D145" s="13" t="n"/>
      <c r="E145" s="13" t="n"/>
    </row>
    <row r="146">
      <c r="B146" s="12" t="n"/>
      <c r="C146" s="13" t="n"/>
      <c r="D146" s="13" t="n"/>
      <c r="E146" s="13" t="n"/>
    </row>
    <row r="147">
      <c r="B147" s="12" t="n"/>
      <c r="C147" s="13" t="n"/>
      <c r="D147" s="13" t="n"/>
      <c r="E147" s="13" t="n"/>
    </row>
    <row r="148">
      <c r="B148" s="12" t="n"/>
      <c r="C148" s="13" t="n"/>
      <c r="D148" s="13" t="n"/>
      <c r="E148" s="13" t="n"/>
    </row>
    <row r="149">
      <c r="B149" s="12" t="n"/>
      <c r="C149" s="13" t="n"/>
      <c r="D149" s="13" t="n"/>
      <c r="E149" s="13" t="n"/>
    </row>
    <row r="150">
      <c r="B150" s="12" t="n"/>
      <c r="C150" s="13" t="n"/>
      <c r="D150" s="13" t="n"/>
      <c r="E150" s="13" t="n"/>
    </row>
    <row r="151">
      <c r="B151" s="12" t="n"/>
      <c r="C151" s="13" t="n"/>
      <c r="D151" s="13" t="n"/>
      <c r="E151" s="13" t="n"/>
    </row>
    <row r="152">
      <c r="B152" s="12" t="n"/>
      <c r="C152" s="13" t="n"/>
      <c r="D152" s="13" t="n"/>
      <c r="E152" s="13" t="n"/>
    </row>
    <row r="153">
      <c r="B153" s="12" t="n"/>
      <c r="C153" s="13" t="n"/>
      <c r="D153" s="13" t="n"/>
      <c r="E153" s="13" t="n"/>
    </row>
    <row r="154">
      <c r="B154" s="12" t="n"/>
      <c r="C154" s="13" t="n"/>
      <c r="D154" s="13" t="n"/>
      <c r="E154" s="13" t="n"/>
    </row>
    <row r="155">
      <c r="B155" s="12" t="n"/>
      <c r="C155" s="13" t="n"/>
      <c r="D155" s="13" t="n"/>
      <c r="E155" s="13" t="n"/>
    </row>
    <row r="156">
      <c r="B156" s="12" t="n"/>
      <c r="C156" s="13" t="n"/>
      <c r="D156" s="13" t="n"/>
      <c r="E156" s="13" t="n"/>
    </row>
    <row r="157">
      <c r="B157" s="12" t="n"/>
      <c r="C157" s="13" t="n"/>
      <c r="D157" s="13" t="n"/>
      <c r="E157" s="13" t="n"/>
    </row>
    <row r="158">
      <c r="B158" s="12" t="n"/>
      <c r="C158" s="13" t="n"/>
      <c r="D158" s="13" t="n"/>
      <c r="E158" s="13" t="n"/>
    </row>
    <row r="159">
      <c r="B159" s="12" t="n"/>
      <c r="C159" s="13" t="n"/>
      <c r="D159" s="13" t="n"/>
      <c r="E159" s="13" t="n"/>
    </row>
    <row r="160">
      <c r="B160" s="12" t="n"/>
      <c r="C160" s="13" t="n"/>
      <c r="D160" s="13" t="n"/>
      <c r="E160" s="13" t="n"/>
    </row>
    <row r="161">
      <c r="B161" s="12" t="n"/>
      <c r="C161" s="13" t="n"/>
      <c r="D161" s="13" t="n"/>
      <c r="E161" s="13" t="n"/>
    </row>
    <row r="162">
      <c r="B162" s="12" t="n"/>
      <c r="C162" s="13" t="n"/>
      <c r="D162" s="13" t="n"/>
      <c r="E162" s="13" t="n"/>
    </row>
    <row r="163">
      <c r="B163" s="12" t="n"/>
      <c r="C163" s="13" t="n"/>
      <c r="D163" s="13" t="n"/>
      <c r="E163" s="13" t="n"/>
    </row>
    <row r="164">
      <c r="B164" s="12" t="n"/>
      <c r="C164" s="13" t="n"/>
      <c r="D164" s="13" t="n"/>
      <c r="E164" s="13" t="n"/>
    </row>
    <row r="165">
      <c r="B165" s="12" t="n"/>
      <c r="C165" s="13" t="n"/>
      <c r="D165" s="13" t="n"/>
      <c r="E165" s="13" t="n"/>
    </row>
    <row r="166">
      <c r="B166" s="12" t="n"/>
      <c r="C166" s="13" t="n"/>
      <c r="D166" s="13" t="n"/>
      <c r="E166" s="13" t="n"/>
    </row>
    <row r="167">
      <c r="B167" s="12" t="n"/>
      <c r="C167" s="13" t="n"/>
      <c r="D167" s="13" t="n"/>
      <c r="E167" s="13" t="n"/>
    </row>
    <row r="168">
      <c r="B168" s="12" t="n"/>
      <c r="C168" s="13" t="n"/>
      <c r="D168" s="13" t="n"/>
      <c r="E168" s="13" t="n"/>
    </row>
    <row r="169">
      <c r="B169" s="12" t="n"/>
      <c r="C169" s="13" t="n"/>
      <c r="D169" s="13" t="n"/>
      <c r="E169" s="13" t="n"/>
    </row>
    <row r="170">
      <c r="B170" s="12" t="n"/>
      <c r="C170" s="13" t="n"/>
      <c r="D170" s="13" t="n"/>
      <c r="E170" s="13" t="n"/>
    </row>
    <row r="171">
      <c r="B171" s="12" t="n"/>
      <c r="C171" s="13" t="n"/>
      <c r="D171" s="13" t="n"/>
      <c r="E171" s="13" t="n"/>
    </row>
    <row r="172">
      <c r="B172" s="12" t="n"/>
      <c r="C172" s="13" t="n"/>
      <c r="D172" s="13" t="n"/>
      <c r="E172" s="13" t="n"/>
    </row>
    <row r="173">
      <c r="B173" s="12" t="n"/>
      <c r="C173" s="13" t="n"/>
      <c r="D173" s="13" t="n"/>
      <c r="E173" s="13" t="n"/>
    </row>
    <row r="174">
      <c r="B174" s="12" t="n"/>
      <c r="C174" s="13" t="n"/>
      <c r="D174" s="13" t="n"/>
      <c r="E174" s="13" t="n"/>
    </row>
    <row r="175">
      <c r="B175" s="12" t="n"/>
      <c r="C175" s="13" t="n"/>
      <c r="D175" s="13" t="n"/>
      <c r="E175" s="13" t="n"/>
    </row>
    <row r="176">
      <c r="B176" s="12" t="n"/>
      <c r="C176" s="13" t="n"/>
      <c r="D176" s="13" t="n"/>
      <c r="E176" s="13" t="n"/>
    </row>
    <row r="177">
      <c r="B177" s="12" t="n"/>
      <c r="C177" s="13" t="n"/>
      <c r="D177" s="13" t="n"/>
      <c r="E177" s="13" t="n"/>
    </row>
    <row r="178">
      <c r="B178" s="12" t="n"/>
      <c r="C178" s="13" t="n"/>
      <c r="D178" s="13" t="n"/>
      <c r="E178" s="13" t="n"/>
    </row>
    <row r="179">
      <c r="B179" s="12" t="n"/>
      <c r="C179" s="13" t="n"/>
      <c r="D179" s="13" t="n"/>
      <c r="E179" s="13" t="n"/>
    </row>
    <row r="180">
      <c r="B180" s="12" t="n"/>
      <c r="C180" s="13" t="n"/>
      <c r="D180" s="13" t="n"/>
      <c r="E180" s="13" t="n"/>
    </row>
    <row r="181">
      <c r="B181" s="12" t="n"/>
      <c r="C181" s="13" t="n"/>
      <c r="D181" s="13" t="n"/>
      <c r="E181" s="13" t="n"/>
    </row>
    <row r="182">
      <c r="B182" s="12" t="n"/>
      <c r="C182" s="13" t="n"/>
      <c r="D182" s="13" t="n"/>
      <c r="E182" s="13" t="n"/>
    </row>
    <row r="183">
      <c r="B183" s="12" t="n"/>
      <c r="C183" s="13" t="n"/>
      <c r="D183" s="13" t="n"/>
      <c r="E183" s="13" t="n"/>
    </row>
    <row r="184">
      <c r="B184" s="12" t="n"/>
      <c r="C184" s="13" t="n"/>
      <c r="D184" s="13" t="n"/>
      <c r="E184" s="13" t="n"/>
    </row>
    <row r="185">
      <c r="B185" s="12" t="n"/>
      <c r="C185" s="13" t="n"/>
      <c r="D185" s="13" t="n"/>
      <c r="E185" s="13" t="n"/>
    </row>
    <row r="186">
      <c r="B186" s="12" t="n"/>
      <c r="C186" s="13" t="n"/>
      <c r="D186" s="13" t="n"/>
      <c r="E186" s="13" t="n"/>
    </row>
    <row r="187">
      <c r="B187" s="12" t="n"/>
      <c r="C187" s="13" t="n"/>
      <c r="D187" s="13" t="n"/>
      <c r="E187" s="13" t="n"/>
    </row>
    <row r="188">
      <c r="B188" s="12" t="n"/>
      <c r="C188" s="13" t="n"/>
      <c r="D188" s="13" t="n"/>
      <c r="E188" s="13" t="n"/>
    </row>
    <row r="189">
      <c r="B189" s="12" t="n"/>
      <c r="C189" s="13" t="n"/>
      <c r="D189" s="13" t="n"/>
      <c r="E189" s="13" t="n"/>
    </row>
    <row r="190">
      <c r="B190" s="12" t="n"/>
      <c r="C190" s="13" t="n"/>
      <c r="D190" s="13" t="n"/>
      <c r="E190" s="13" t="n"/>
    </row>
    <row r="191">
      <c r="B191" s="12" t="n"/>
      <c r="C191" s="13" t="n"/>
      <c r="D191" s="13" t="n"/>
      <c r="E191" s="13" t="n"/>
    </row>
    <row r="192">
      <c r="B192" s="12" t="n"/>
      <c r="C192" s="13" t="n"/>
      <c r="D192" s="13" t="n"/>
      <c r="E192" s="13" t="n"/>
    </row>
    <row r="193">
      <c r="B193" s="12" t="n"/>
      <c r="C193" s="13" t="n"/>
      <c r="D193" s="13" t="n"/>
      <c r="E193" s="13" t="n"/>
    </row>
    <row r="194">
      <c r="B194" s="12" t="n"/>
      <c r="C194" s="13" t="n"/>
      <c r="D194" s="13" t="n"/>
      <c r="E194" s="13" t="n"/>
    </row>
    <row r="195">
      <c r="B195" s="12" t="n"/>
      <c r="C195" s="13" t="n"/>
      <c r="D195" s="13" t="n"/>
      <c r="E195" s="13" t="n"/>
    </row>
    <row r="196">
      <c r="B196" s="12" t="n"/>
      <c r="C196" s="13" t="n"/>
      <c r="D196" s="13" t="n"/>
      <c r="E196" s="13" t="n"/>
    </row>
    <row r="197">
      <c r="B197" s="12" t="n"/>
      <c r="C197" s="13" t="n"/>
      <c r="D197" s="13" t="n"/>
      <c r="E197" s="13" t="n"/>
    </row>
    <row r="198">
      <c r="B198" s="12" t="n"/>
      <c r="C198" s="13" t="n"/>
      <c r="D198" s="13" t="n"/>
      <c r="E198" s="13" t="n"/>
    </row>
    <row r="199">
      <c r="B199" s="12" t="n"/>
      <c r="C199" s="13" t="n"/>
      <c r="D199" s="13" t="n"/>
      <c r="E199" s="13" t="n"/>
    </row>
    <row r="200">
      <c r="B200" s="12" t="n"/>
      <c r="C200" s="13" t="n"/>
      <c r="D200" s="13" t="n"/>
      <c r="E200" s="13" t="n"/>
    </row>
    <row r="201">
      <c r="B201" s="12" t="n"/>
      <c r="C201" s="13" t="n"/>
      <c r="D201" s="13" t="n"/>
      <c r="E201" s="13" t="n"/>
    </row>
    <row r="202">
      <c r="B202" s="12" t="n"/>
      <c r="C202" s="13" t="n"/>
      <c r="D202" s="13" t="n"/>
      <c r="E202" s="13" t="n"/>
    </row>
    <row r="203">
      <c r="B203" s="12" t="n"/>
      <c r="C203" s="13" t="n"/>
      <c r="D203" s="13" t="n"/>
      <c r="E203" s="13" t="n"/>
    </row>
    <row r="204">
      <c r="B204" s="12" t="n"/>
      <c r="C204" s="13" t="n"/>
      <c r="D204" s="13" t="n"/>
      <c r="E204" s="13" t="n"/>
    </row>
  </sheetData>
  <conditionalFormatting sqref="B5:B204">
    <cfRule type="expression" priority="1" dxfId="1">
      <formula>AND($B5&lt;&gt;"",COUNTIF($B$5:$B$204,$B5)&gt;1)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40" customWidth="1" min="3" max="3"/>
    <col width="34" customWidth="1" min="4" max="4"/>
  </cols>
  <sheetData>
    <row r="1">
      <c r="B1" s="5" t="inlineStr">
        <is>
          <t>Rinks</t>
        </is>
      </c>
    </row>
    <row r="2">
      <c r="B2" s="10" t="inlineStr">
        <is>
          <t>The Rink column on the Schedule tab picks from this list. Add a rink here first and it appears in the dropdown.</t>
        </is>
      </c>
    </row>
    <row r="4">
      <c r="B4" s="6" t="inlineStr">
        <is>
          <t>Rink name</t>
        </is>
      </c>
      <c r="C4" s="6" t="inlineStr">
        <is>
          <t>Address</t>
        </is>
      </c>
      <c r="D4" s="6" t="inlineStr">
        <is>
          <t>Notes</t>
        </is>
      </c>
    </row>
    <row r="5">
      <c r="B5" s="12" t="inlineStr">
        <is>
          <t>West Seneca</t>
        </is>
      </c>
      <c r="C5" s="13" t="n"/>
      <c r="D5" s="13" t="n"/>
    </row>
    <row r="6">
      <c r="B6" s="12" t="inlineStr">
        <is>
          <t>Leisure Rinks - 1</t>
        </is>
      </c>
      <c r="C6" s="13" t="n"/>
      <c r="D6" s="13" t="n"/>
    </row>
    <row r="7">
      <c r="B7" s="12" t="inlineStr">
        <is>
          <t>Leisure Rinks - 2</t>
        </is>
      </c>
      <c r="C7" s="13" t="n"/>
      <c r="D7" s="13" t="n"/>
    </row>
    <row r="8">
      <c r="B8" s="12" t="n"/>
      <c r="C8" s="13" t="n"/>
      <c r="D8" s="13" t="n"/>
    </row>
    <row r="9">
      <c r="B9" s="12" t="n"/>
      <c r="C9" s="13" t="n"/>
      <c r="D9" s="13" t="n"/>
    </row>
    <row r="10">
      <c r="B10" s="12" t="n"/>
      <c r="C10" s="13" t="n"/>
      <c r="D10" s="13" t="n"/>
    </row>
    <row r="11">
      <c r="B11" s="12" t="n"/>
      <c r="C11" s="13" t="n"/>
      <c r="D11" s="13" t="n"/>
    </row>
    <row r="12">
      <c r="B12" s="12" t="n"/>
      <c r="C12" s="13" t="n"/>
      <c r="D12" s="13" t="n"/>
    </row>
    <row r="13">
      <c r="B13" s="12" t="n"/>
      <c r="C13" s="13" t="n"/>
      <c r="D13" s="13" t="n"/>
    </row>
    <row r="14">
      <c r="B14" s="12" t="n"/>
      <c r="C14" s="13" t="n"/>
      <c r="D14" s="13" t="n"/>
    </row>
    <row r="15">
      <c r="B15" s="12" t="n"/>
      <c r="C15" s="13" t="n"/>
      <c r="D15" s="13" t="n"/>
    </row>
    <row r="16">
      <c r="B16" s="12" t="n"/>
      <c r="C16" s="13" t="n"/>
      <c r="D16" s="13" t="n"/>
    </row>
    <row r="17">
      <c r="B17" s="12" t="n"/>
      <c r="C17" s="13" t="n"/>
      <c r="D17" s="13" t="n"/>
    </row>
    <row r="18">
      <c r="B18" s="12" t="n"/>
      <c r="C18" s="13" t="n"/>
      <c r="D18" s="13" t="n"/>
    </row>
    <row r="19">
      <c r="B19" s="12" t="n"/>
      <c r="C19" s="13" t="n"/>
      <c r="D19" s="13" t="n"/>
    </row>
    <row r="20">
      <c r="B20" s="12" t="n"/>
      <c r="C20" s="13" t="n"/>
      <c r="D20" s="13" t="n"/>
    </row>
    <row r="21">
      <c r="B21" s="12" t="n"/>
      <c r="C21" s="13" t="n"/>
      <c r="D21" s="13" t="n"/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2" t="n"/>
      <c r="C24" s="13" t="n"/>
      <c r="D24" s="13" t="n"/>
    </row>
    <row r="25">
      <c r="B25" s="12" t="n"/>
      <c r="C25" s="13" t="n"/>
      <c r="D25" s="13" t="n"/>
    </row>
    <row r="26">
      <c r="B26" s="12" t="n"/>
      <c r="C26" s="13" t="n"/>
      <c r="D26" s="13" t="n"/>
    </row>
    <row r="27">
      <c r="B27" s="12" t="n"/>
      <c r="C27" s="13" t="n"/>
      <c r="D27" s="13" t="n"/>
    </row>
    <row r="28">
      <c r="B28" s="12" t="n"/>
      <c r="C28" s="13" t="n"/>
      <c r="D28" s="13" t="n"/>
    </row>
    <row r="29">
      <c r="B29" s="12" t="n"/>
      <c r="C29" s="13" t="n"/>
      <c r="D29" s="13" t="n"/>
    </row>
    <row r="30">
      <c r="B30" s="12" t="n"/>
      <c r="C30" s="13" t="n"/>
      <c r="D30" s="13" t="n"/>
    </row>
    <row r="31">
      <c r="B31" s="12" t="n"/>
      <c r="C31" s="13" t="n"/>
      <c r="D31" s="13" t="n"/>
    </row>
    <row r="32">
      <c r="B32" s="12" t="n"/>
      <c r="C32" s="13" t="n"/>
      <c r="D32" s="13" t="n"/>
    </row>
    <row r="33">
      <c r="B33" s="12" t="n"/>
      <c r="C33" s="13" t="n"/>
      <c r="D33" s="13" t="n"/>
    </row>
    <row r="34">
      <c r="B34" s="12" t="n"/>
      <c r="C34" s="13" t="n"/>
      <c r="D34" s="13" t="n"/>
    </row>
    <row r="35">
      <c r="B35" s="12" t="n"/>
      <c r="C35" s="13" t="n"/>
      <c r="D35" s="13" t="n"/>
    </row>
    <row r="36">
      <c r="B36" s="12" t="n"/>
      <c r="C36" s="13" t="n"/>
      <c r="D36" s="13" t="n"/>
    </row>
    <row r="37">
      <c r="B37" s="12" t="n"/>
      <c r="C37" s="13" t="n"/>
      <c r="D37" s="13" t="n"/>
    </row>
    <row r="38">
      <c r="B38" s="12" t="n"/>
      <c r="C38" s="13" t="n"/>
      <c r="D38" s="13" t="n"/>
    </row>
    <row r="39">
      <c r="B39" s="12" t="n"/>
      <c r="C39" s="13" t="n"/>
      <c r="D39" s="13" t="n"/>
    </row>
    <row r="40">
      <c r="B40" s="12" t="n"/>
      <c r="C40" s="13" t="n"/>
      <c r="D40" s="13" t="n"/>
    </row>
    <row r="41">
      <c r="B41" s="12" t="n"/>
      <c r="C41" s="13" t="n"/>
      <c r="D41" s="13" t="n"/>
    </row>
    <row r="42">
      <c r="B42" s="12" t="n"/>
      <c r="C42" s="13" t="n"/>
      <c r="D42" s="13" t="n"/>
    </row>
    <row r="43">
      <c r="B43" s="12" t="n"/>
      <c r="C43" s="13" t="n"/>
      <c r="D43" s="13" t="n"/>
    </row>
    <row r="44">
      <c r="B44" s="12" t="n"/>
      <c r="C44" s="13" t="n"/>
      <c r="D44" s="13" t="n"/>
    </row>
    <row r="45">
      <c r="B45" s="12" t="n"/>
      <c r="C45" s="13" t="n"/>
      <c r="D45" s="13" t="n"/>
    </row>
    <row r="46">
      <c r="B46" s="12" t="n"/>
      <c r="C46" s="13" t="n"/>
      <c r="D46" s="13" t="n"/>
    </row>
    <row r="47">
      <c r="B47" s="12" t="n"/>
      <c r="C47" s="13" t="n"/>
      <c r="D47" s="13" t="n"/>
    </row>
    <row r="48">
      <c r="B48" s="12" t="n"/>
      <c r="C48" s="13" t="n"/>
      <c r="D48" s="13" t="n"/>
    </row>
    <row r="49">
      <c r="B49" s="12" t="n"/>
      <c r="C49" s="13" t="n"/>
      <c r="D49" s="13" t="n"/>
    </row>
    <row r="50">
      <c r="B50" s="12" t="n"/>
      <c r="C50" s="13" t="n"/>
      <c r="D50" s="13" t="n"/>
    </row>
    <row r="51">
      <c r="B51" s="12" t="n"/>
      <c r="C51" s="13" t="n"/>
      <c r="D51" s="13" t="n"/>
    </row>
    <row r="52">
      <c r="B52" s="12" t="n"/>
      <c r="C52" s="13" t="n"/>
      <c r="D52" s="13" t="n"/>
    </row>
    <row r="53">
      <c r="B53" s="12" t="n"/>
      <c r="C53" s="13" t="n"/>
      <c r="D53" s="13" t="n"/>
    </row>
    <row r="54">
      <c r="B54" s="12" t="n"/>
      <c r="C54" s="13" t="n"/>
      <c r="D54" s="13" t="n"/>
    </row>
    <row r="55">
      <c r="B55" s="12" t="n"/>
      <c r="C55" s="13" t="n"/>
      <c r="D55" s="13" t="n"/>
    </row>
    <row r="56">
      <c r="B56" s="12" t="n"/>
      <c r="C56" s="13" t="n"/>
      <c r="D56" s="13" t="n"/>
    </row>
    <row r="57">
      <c r="B57" s="12" t="n"/>
      <c r="C57" s="13" t="n"/>
      <c r="D57" s="13" t="n"/>
    </row>
    <row r="58">
      <c r="B58" s="12" t="n"/>
      <c r="C58" s="13" t="n"/>
      <c r="D58" s="13" t="n"/>
    </row>
    <row r="59">
      <c r="B59" s="12" t="n"/>
      <c r="C59" s="13" t="n"/>
      <c r="D59" s="13" t="n"/>
    </row>
    <row r="60">
      <c r="B60" s="12" t="n"/>
      <c r="C60" s="13" t="n"/>
      <c r="D60" s="13" t="n"/>
    </row>
    <row r="61">
      <c r="B61" s="12" t="n"/>
      <c r="C61" s="13" t="n"/>
      <c r="D61" s="13" t="n"/>
    </row>
    <row r="62">
      <c r="B62" s="12" t="n"/>
      <c r="C62" s="13" t="n"/>
      <c r="D62" s="13" t="n"/>
    </row>
    <row r="63">
      <c r="B63" s="12" t="n"/>
      <c r="C63" s="13" t="n"/>
      <c r="D63" s="13" t="n"/>
    </row>
    <row r="64">
      <c r="B64" s="12" t="n"/>
      <c r="C64" s="13" t="n"/>
      <c r="D64" s="13" t="n"/>
    </row>
    <row r="65">
      <c r="B65" s="12" t="n"/>
      <c r="C65" s="13" t="n"/>
      <c r="D65" s="13" t="n"/>
    </row>
    <row r="66">
      <c r="B66" s="12" t="n"/>
      <c r="C66" s="13" t="n"/>
      <c r="D66" s="13" t="n"/>
    </row>
    <row r="67">
      <c r="B67" s="12" t="n"/>
      <c r="C67" s="13" t="n"/>
      <c r="D67" s="13" t="n"/>
    </row>
    <row r="68">
      <c r="B68" s="12" t="n"/>
      <c r="C68" s="13" t="n"/>
      <c r="D68" s="13" t="n"/>
    </row>
    <row r="69">
      <c r="B69" s="12" t="n"/>
      <c r="C69" s="13" t="n"/>
      <c r="D69" s="13" t="n"/>
    </row>
    <row r="70">
      <c r="B70" s="12" t="n"/>
      <c r="C70" s="13" t="n"/>
      <c r="D70" s="13" t="n"/>
    </row>
    <row r="71">
      <c r="B71" s="12" t="n"/>
      <c r="C71" s="13" t="n"/>
      <c r="D71" s="13" t="n"/>
    </row>
    <row r="72">
      <c r="B72" s="12" t="n"/>
      <c r="C72" s="13" t="n"/>
      <c r="D72" s="13" t="n"/>
    </row>
    <row r="73">
      <c r="B73" s="12" t="n"/>
      <c r="C73" s="13" t="n"/>
      <c r="D73" s="13" t="n"/>
    </row>
    <row r="74">
      <c r="B74" s="12" t="n"/>
      <c r="C74" s="13" t="n"/>
      <c r="D74" s="13" t="n"/>
    </row>
    <row r="75">
      <c r="B75" s="12" t="n"/>
      <c r="C75" s="13" t="n"/>
      <c r="D75" s="13" t="n"/>
    </row>
    <row r="76">
      <c r="B76" s="12" t="n"/>
      <c r="C76" s="13" t="n"/>
      <c r="D76" s="13" t="n"/>
    </row>
    <row r="77">
      <c r="B77" s="12" t="n"/>
      <c r="C77" s="13" t="n"/>
      <c r="D77" s="13" t="n"/>
    </row>
    <row r="78">
      <c r="B78" s="12" t="n"/>
      <c r="C78" s="13" t="n"/>
      <c r="D78" s="13" t="n"/>
    </row>
    <row r="79">
      <c r="B79" s="12" t="n"/>
      <c r="C79" s="13" t="n"/>
      <c r="D79" s="13" t="n"/>
    </row>
    <row r="80">
      <c r="B80" s="12" t="n"/>
      <c r="C80" s="13" t="n"/>
      <c r="D80" s="13" t="n"/>
    </row>
    <row r="81">
      <c r="B81" s="12" t="n"/>
      <c r="C81" s="13" t="n"/>
      <c r="D81" s="13" t="n"/>
    </row>
    <row r="82">
      <c r="B82" s="12" t="n"/>
      <c r="C82" s="13" t="n"/>
      <c r="D82" s="13" t="n"/>
    </row>
    <row r="83">
      <c r="B83" s="12" t="n"/>
      <c r="C83" s="13" t="n"/>
      <c r="D83" s="13" t="n"/>
    </row>
    <row r="84">
      <c r="B84" s="12" t="n"/>
      <c r="C84" s="13" t="n"/>
      <c r="D84" s="13" t="n"/>
    </row>
    <row r="85">
      <c r="B85" s="12" t="n"/>
      <c r="C85" s="13" t="n"/>
      <c r="D85" s="13" t="n"/>
    </row>
    <row r="86">
      <c r="B86" s="12" t="n"/>
      <c r="C86" s="13" t="n"/>
      <c r="D86" s="13" t="n"/>
    </row>
    <row r="87">
      <c r="B87" s="12" t="n"/>
      <c r="C87" s="13" t="n"/>
      <c r="D87" s="13" t="n"/>
    </row>
    <row r="88">
      <c r="B88" s="12" t="n"/>
      <c r="C88" s="13" t="n"/>
      <c r="D88" s="13" t="n"/>
    </row>
    <row r="89">
      <c r="B89" s="12" t="n"/>
      <c r="C89" s="13" t="n"/>
      <c r="D89" s="13" t="n"/>
    </row>
    <row r="90">
      <c r="B90" s="12" t="n"/>
      <c r="C90" s="13" t="n"/>
      <c r="D90" s="13" t="n"/>
    </row>
    <row r="91">
      <c r="B91" s="12" t="n"/>
      <c r="C91" s="13" t="n"/>
      <c r="D91" s="13" t="n"/>
    </row>
    <row r="92">
      <c r="B92" s="12" t="n"/>
      <c r="C92" s="13" t="n"/>
      <c r="D92" s="13" t="n"/>
    </row>
    <row r="93">
      <c r="B93" s="12" t="n"/>
      <c r="C93" s="13" t="n"/>
      <c r="D93" s="13" t="n"/>
    </row>
    <row r="94">
      <c r="B94" s="12" t="n"/>
      <c r="C94" s="13" t="n"/>
      <c r="D94" s="13" t="n"/>
    </row>
    <row r="95">
      <c r="B95" s="12" t="n"/>
      <c r="C95" s="13" t="n"/>
      <c r="D95" s="13" t="n"/>
    </row>
    <row r="96">
      <c r="B96" s="12" t="n"/>
      <c r="C96" s="13" t="n"/>
      <c r="D96" s="13" t="n"/>
    </row>
    <row r="97">
      <c r="B97" s="12" t="n"/>
      <c r="C97" s="13" t="n"/>
      <c r="D97" s="13" t="n"/>
    </row>
    <row r="98">
      <c r="B98" s="12" t="n"/>
      <c r="C98" s="13" t="n"/>
      <c r="D98" s="13" t="n"/>
    </row>
    <row r="99">
      <c r="B99" s="12" t="n"/>
      <c r="C99" s="13" t="n"/>
      <c r="D99" s="13" t="n"/>
    </row>
    <row r="100">
      <c r="B100" s="12" t="n"/>
      <c r="C100" s="13" t="n"/>
      <c r="D100" s="13" t="n"/>
    </row>
    <row r="101">
      <c r="B101" s="12" t="n"/>
      <c r="C101" s="13" t="n"/>
      <c r="D101" s="13" t="n"/>
    </row>
    <row r="102">
      <c r="B102" s="12" t="n"/>
      <c r="C102" s="13" t="n"/>
      <c r="D102" s="13" t="n"/>
    </row>
    <row r="103">
      <c r="B103" s="12" t="n"/>
      <c r="C103" s="13" t="n"/>
      <c r="D103" s="13" t="n"/>
    </row>
    <row r="104">
      <c r="B104" s="12" t="n"/>
      <c r="C104" s="13" t="n"/>
      <c r="D104" s="13" t="n"/>
    </row>
  </sheetData>
  <conditionalFormatting sqref="B5:B104">
    <cfRule type="expression" priority="1" dxfId="1" stopIfTrue="0">
      <formula>AND(B5&lt;&gt;"",COUNTIF($B$5:$B$104,B5)&gt;1)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25" customWidth="1" min="4" max="4"/>
    <col width="11" customWidth="1" min="5" max="5"/>
    <col width="11" customWidth="1" min="6" max="6"/>
    <col width="26" customWidth="1" min="7" max="7"/>
    <col width="15" customWidth="1" min="8" max="8"/>
    <col width="13" customWidth="1" min="9" max="9"/>
    <col width="22" customWidth="1" min="10" max="10"/>
    <col width="22" customWidth="1" min="11" max="11"/>
  </cols>
  <sheetData>
    <row r="1">
      <c r="A1" s="5" t="inlineStr">
        <is>
          <t>Schedule</t>
        </is>
      </c>
    </row>
    <row r="2">
      <c r="A2" s="14">
        <f>IF(COUNTIF($C$5:$C$304,"?*")=0,"No games entered yet.",IF(COUNTIF($K$5:$K$304,"OK*")=COUNTIF($C$5:$C$304,"?*"),"All "&amp;COUNTIF($C$5:$C$304,"?*")&amp;" rows look good.",COUNTIF($C$5:$C$304,"?*")-COUNTIF($K$5:$K$304,"OK*")&amp;" row(s) need fixing - look down column K for the ones that do not say OK."))</f>
        <v/>
      </c>
    </row>
    <row r="4">
      <c r="A4" s="15" t="inlineStr">
        <is>
          <t>Date</t>
        </is>
      </c>
      <c r="B4" s="15" t="inlineStr">
        <is>
          <t>Face-off</t>
        </is>
      </c>
      <c r="C4" s="15" t="inlineStr">
        <is>
          <t>Away team</t>
        </is>
      </c>
      <c r="D4" s="15" t="inlineStr">
        <is>
          <t>Home team</t>
        </is>
      </c>
      <c r="E4" s="15" t="inlineStr">
        <is>
          <t>Away goals</t>
        </is>
      </c>
      <c r="F4" s="15" t="inlineStr">
        <is>
          <t>Home goals</t>
        </is>
      </c>
      <c r="G4" s="15" t="inlineStr">
        <is>
          <t>Rink</t>
        </is>
      </c>
      <c r="H4" s="15" t="inlineStr">
        <is>
          <t>Pool / division</t>
        </is>
      </c>
      <c r="I4" s="15" t="inlineStr">
        <is>
          <t>Game type</t>
        </is>
      </c>
      <c r="J4" s="15" t="inlineStr">
        <is>
          <t>Event</t>
        </is>
      </c>
      <c r="K4" s="15" t="inlineStr">
        <is>
          <t>Check</t>
        </is>
      </c>
    </row>
    <row r="5">
      <c r="A5" s="16" t="inlineStr">
        <is>
          <t>2026-07-06</t>
        </is>
      </c>
      <c r="B5" s="17" t="inlineStr">
        <is>
          <t>7:10 PM</t>
        </is>
      </c>
      <c r="C5" s="12" t="inlineStr">
        <is>
          <t>Amherst Knights</t>
        </is>
      </c>
      <c r="D5" s="12" t="inlineStr">
        <is>
          <t>West Seneca Wings</t>
        </is>
      </c>
      <c r="E5" s="18" t="n">
        <v>2</v>
      </c>
      <c r="F5" s="18" t="n">
        <v>3</v>
      </c>
      <c r="G5" s="13" t="inlineStr">
        <is>
          <t>West Seneca Ice Arena</t>
        </is>
      </c>
      <c r="H5" s="13" t="n"/>
      <c r="I5" s="13" t="inlineStr">
        <is>
          <t>League</t>
        </is>
      </c>
      <c r="J5" s="13" t="n"/>
      <c r="K5" s="19">
        <f>IF(AND(A5="",C5="",D5=""),"",IF(A5="","Missing the date in column A",IF(OR(C5="",D5=""),IF(I5="Bracket","OK - bracket TBD","Missing a team"),IF(C5=D5,"Same team twice",IF(AND(COUNTIF(Teams!$B$5:$B$204,C5)=0,NOT(SUMPRODUCT(--ISNUMBER(SEARCH(","&amp;C5&amp;",",","&amp;SUBSTITUTE(SUBSTITUTE(Teams!$E$5:$E$204,", ",",")," ,",",")&amp;",")))&gt;0)),"Away team not on Teams tab",IF(AND(COUNTIF(Teams!$B$5:$B$204,D5)=0,NOT(SUMPRODUCT(--ISNUMBER(SEARCH(","&amp;D5&amp;",",","&amp;SUBSTITUTE(SUBSTITUTE(Teams!$E$5:$E$204,", ",",")," ,",",")&amp;",")))&gt;0)),"Home team not on Teams tab",IF(AND(E5&lt;&gt;"",F5=""),"Only one score entered",IF(AND(F5&lt;&gt;"",E5=""),"Only one score entered","OK"))))))))</f>
        <v/>
      </c>
    </row>
    <row r="6">
      <c r="A6" s="16" t="inlineStr">
        <is>
          <t>2026-07-09</t>
        </is>
      </c>
      <c r="B6" s="17" t="inlineStr">
        <is>
          <t>8:00 PM</t>
        </is>
      </c>
      <c r="C6" s="12" t="inlineStr">
        <is>
          <t>West Seneca Wings</t>
        </is>
      </c>
      <c r="D6" s="12" t="inlineStr">
        <is>
          <t>Buffalo Regals</t>
        </is>
      </c>
      <c r="E6" s="18" t="n">
        <v>5</v>
      </c>
      <c r="F6" s="18" t="n">
        <v>2</v>
      </c>
      <c r="G6" s="13" t="inlineStr">
        <is>
          <t>Northtown Center</t>
        </is>
      </c>
      <c r="H6" s="13" t="n"/>
      <c r="I6" s="13" t="inlineStr">
        <is>
          <t>League</t>
        </is>
      </c>
      <c r="J6" s="13" t="n"/>
      <c r="K6" s="19">
        <f>IF(AND(A6="",C6="",D6=""),"",IF(A6="","Missing the date in column A",IF(OR(C6="",D6=""),IF(I6="Bracket","OK - bracket TBD","Missing a team"),IF(C6=D6,"Same team twice",IF(AND(COUNTIF(Teams!$B$5:$B$204,C6)=0,NOT(SUMPRODUCT(--ISNUMBER(SEARCH(","&amp;C6&amp;",",","&amp;SUBSTITUTE(SUBSTITUTE(Teams!$E$5:$E$204,", ",",")," ,",",")&amp;",")))&gt;0)),"Away team not on Teams tab",IF(AND(COUNTIF(Teams!$B$5:$B$204,D6)=0,NOT(SUMPRODUCT(--ISNUMBER(SEARCH(","&amp;D6&amp;",",","&amp;SUBSTITUTE(SUBSTITUTE(Teams!$E$5:$E$204,", ",",")," ,",",")&amp;",")))&gt;0)),"Home team not on Teams tab",IF(AND(E6&lt;&gt;"",F6=""),"Only one score entered",IF(AND(F6&lt;&gt;"",E6=""),"Only one score entered","OK"))))))))</f>
        <v/>
      </c>
    </row>
    <row r="7">
      <c r="A7" s="16" t="inlineStr">
        <is>
          <t>2026-07-11</t>
        </is>
      </c>
      <c r="B7" s="17" t="inlineStr">
        <is>
          <t>6:20 PM</t>
        </is>
      </c>
      <c r="C7" s="12" t="inlineStr">
        <is>
          <t>Depew Saints</t>
        </is>
      </c>
      <c r="D7" s="12" t="inlineStr">
        <is>
          <t>Southtowns Stars</t>
        </is>
      </c>
      <c r="E7" s="18" t="n">
        <v>1</v>
      </c>
      <c r="F7" s="18" t="n">
        <v>4</v>
      </c>
      <c r="G7" s="13" t="inlineStr">
        <is>
          <t>Hamburg Ice Arena</t>
        </is>
      </c>
      <c r="H7" s="13" t="n"/>
      <c r="I7" s="13" t="inlineStr">
        <is>
          <t>League</t>
        </is>
      </c>
      <c r="J7" s="13" t="n"/>
      <c r="K7" s="19">
        <f>IF(AND(A7="",C7="",D7=""),"",IF(A7="","Missing the date in column A",IF(OR(C7="",D7=""),IF(I7="Bracket","OK - bracket TBD","Missing a team"),IF(C7=D7,"Same team twice",IF(AND(COUNTIF(Teams!$B$5:$B$204,C7)=0,NOT(SUMPRODUCT(--ISNUMBER(SEARCH(","&amp;C7&amp;",",","&amp;SUBSTITUTE(SUBSTITUTE(Teams!$E$5:$E$204,", ",",")," ,",",")&amp;",")))&gt;0)),"Away team not on Teams tab",IF(AND(COUNTIF(Teams!$B$5:$B$204,D7)=0,NOT(SUMPRODUCT(--ISNUMBER(SEARCH(","&amp;D7&amp;",",","&amp;SUBSTITUTE(SUBSTITUTE(Teams!$E$5:$E$204,", ",",")," ,",",")&amp;",")))&gt;0)),"Home team not on Teams tab",IF(AND(E7&lt;&gt;"",F7=""),"Only one score entered",IF(AND(F7&lt;&gt;"",E7=""),"Only one score entered","OK"))))))))</f>
        <v/>
      </c>
    </row>
    <row r="8">
      <c r="A8" s="16" t="inlineStr">
        <is>
          <t>2026-07-13</t>
        </is>
      </c>
      <c r="B8" s="17" t="inlineStr">
        <is>
          <t>7:40 PM</t>
        </is>
      </c>
      <c r="C8" s="12" t="inlineStr">
        <is>
          <t>Hamburg Hawks</t>
        </is>
      </c>
      <c r="D8" s="12" t="inlineStr">
        <is>
          <t>Cheektowaga Warriors</t>
        </is>
      </c>
      <c r="E8" s="18" t="n">
        <v>3</v>
      </c>
      <c r="F8" s="18" t="n">
        <v>3</v>
      </c>
      <c r="G8" s="13" t="inlineStr">
        <is>
          <t>Cheektowaga Ice Rink</t>
        </is>
      </c>
      <c r="H8" s="13" t="n"/>
      <c r="I8" s="13" t="inlineStr">
        <is>
          <t>League</t>
        </is>
      </c>
      <c r="J8" s="13" t="n"/>
      <c r="K8" s="19">
        <f>IF(AND(A8="",C8="",D8=""),"",IF(A8="","Missing the date in column A",IF(OR(C8="",D8=""),IF(I8="Bracket","OK - bracket TBD","Missing a team"),IF(C8=D8,"Same team twice",IF(AND(COUNTIF(Teams!$B$5:$B$204,C8)=0,NOT(SUMPRODUCT(--ISNUMBER(SEARCH(","&amp;C8&amp;",",","&amp;SUBSTITUTE(SUBSTITUTE(Teams!$E$5:$E$204,", ",",")," ,",",")&amp;",")))&gt;0)),"Away team not on Teams tab",IF(AND(COUNTIF(Teams!$B$5:$B$204,D8)=0,NOT(SUMPRODUCT(--ISNUMBER(SEARCH(","&amp;D8&amp;",",","&amp;SUBSTITUTE(SUBSTITUTE(Teams!$E$5:$E$204,", ",",")," ,",",")&amp;",")))&gt;0)),"Home team not on Teams tab",IF(AND(E8&lt;&gt;"",F8=""),"Only one score entered",IF(AND(F8&lt;&gt;"",E8=""),"Only one score entered","OK"))))))))</f>
        <v/>
      </c>
    </row>
    <row r="9">
      <c r="A9" s="16" t="inlineStr">
        <is>
          <t>2026-07-18</t>
        </is>
      </c>
      <c r="B9" s="17" t="inlineStr">
        <is>
          <t>7:10 PM</t>
        </is>
      </c>
      <c r="C9" s="12" t="inlineStr">
        <is>
          <t>West Seneca Wings</t>
        </is>
      </c>
      <c r="D9" s="12" t="inlineStr">
        <is>
          <t>Southtowns Stars</t>
        </is>
      </c>
      <c r="E9" s="18" t="n">
        <v>2</v>
      </c>
      <c r="F9" s="18" t="n">
        <v>2</v>
      </c>
      <c r="G9" s="13" t="inlineStr">
        <is>
          <t>Hamburg Ice Arena</t>
        </is>
      </c>
      <c r="H9" s="13" t="n"/>
      <c r="I9" s="13" t="inlineStr">
        <is>
          <t>League</t>
        </is>
      </c>
      <c r="J9" s="13" t="n"/>
      <c r="K9" s="19">
        <f>IF(AND(A9="",C9="",D9=""),"",IF(A9="","Missing the date in column A",IF(OR(C9="",D9=""),IF(I9="Bracket","OK - bracket TBD","Missing a team"),IF(C9=D9,"Same team twice",IF(AND(COUNTIF(Teams!$B$5:$B$204,C9)=0,NOT(SUMPRODUCT(--ISNUMBER(SEARCH(","&amp;C9&amp;",",","&amp;SUBSTITUTE(SUBSTITUTE(Teams!$E$5:$E$204,", ",",")," ,",",")&amp;",")))&gt;0)),"Away team not on Teams tab",IF(AND(COUNTIF(Teams!$B$5:$B$204,D9)=0,NOT(SUMPRODUCT(--ISNUMBER(SEARCH(","&amp;D9&amp;",",","&amp;SUBSTITUTE(SUBSTITUTE(Teams!$E$5:$E$204,", ",",")," ,",",")&amp;",")))&gt;0)),"Home team not on Teams tab",IF(AND(E9&lt;&gt;"",F9=""),"Only one score entered",IF(AND(F9&lt;&gt;"",E9=""),"Only one score entered","OK"))))))))</f>
        <v/>
      </c>
    </row>
    <row r="10">
      <c r="A10" s="16" t="inlineStr">
        <is>
          <t>2026-07-20</t>
        </is>
      </c>
      <c r="B10" s="17" t="inlineStr">
        <is>
          <t>8:30 PM</t>
        </is>
      </c>
      <c r="C10" s="12" t="inlineStr">
        <is>
          <t>Niagara Jr Purple Eagles</t>
        </is>
      </c>
      <c r="D10" s="12" t="inlineStr">
        <is>
          <t>Amherst Knights</t>
        </is>
      </c>
      <c r="E10" s="18" t="n">
        <v>0</v>
      </c>
      <c r="F10" s="18" t="n">
        <v>5</v>
      </c>
      <c r="G10" s="13" t="inlineStr">
        <is>
          <t>Northtown Center</t>
        </is>
      </c>
      <c r="H10" s="13" t="n"/>
      <c r="I10" s="13" t="inlineStr">
        <is>
          <t>League</t>
        </is>
      </c>
      <c r="J10" s="13" t="n"/>
      <c r="K10" s="19">
        <f>IF(AND(A10="",C10="",D10=""),"",IF(A10="","Missing the date in column A",IF(OR(C10="",D10=""),IF(I10="Bracket","OK - bracket TBD","Missing a team"),IF(C10=D10,"Same team twice",IF(AND(COUNTIF(Teams!$B$5:$B$204,C10)=0,NOT(SUMPRODUCT(--ISNUMBER(SEARCH(","&amp;C10&amp;",",","&amp;SUBSTITUTE(SUBSTITUTE(Teams!$E$5:$E$204,", ",",")," ,",",")&amp;",")))&gt;0)),"Away team not on Teams tab",IF(AND(COUNTIF(Teams!$B$5:$B$204,D10)=0,NOT(SUMPRODUCT(--ISNUMBER(SEARCH(","&amp;D10&amp;",",","&amp;SUBSTITUTE(SUBSTITUTE(Teams!$E$5:$E$204,", ",",")," ,",",")&amp;",")))&gt;0)),"Home team not on Teams tab",IF(AND(E10&lt;&gt;"",F10=""),"Only one score entered",IF(AND(F10&lt;&gt;"",E10=""),"Only one score entered","OK"))))))))</f>
        <v/>
      </c>
    </row>
    <row r="11">
      <c r="A11" s="16" t="inlineStr">
        <is>
          <t>2026-07-25</t>
        </is>
      </c>
      <c r="B11" s="17" t="inlineStr">
        <is>
          <t>6:00 PM</t>
        </is>
      </c>
      <c r="C11" s="12" t="inlineStr">
        <is>
          <t>Buffalo Regals</t>
        </is>
      </c>
      <c r="D11" s="12" t="inlineStr">
        <is>
          <t>Depew Saints</t>
        </is>
      </c>
      <c r="E11" s="18" t="n">
        <v>4</v>
      </c>
      <c r="F11" s="18" t="n">
        <v>1</v>
      </c>
      <c r="G11" s="13" t="inlineStr">
        <is>
          <t>Depew Ice Rink</t>
        </is>
      </c>
      <c r="H11" s="13" t="n"/>
      <c r="I11" s="13" t="inlineStr">
        <is>
          <t>League</t>
        </is>
      </c>
      <c r="J11" s="13" t="n"/>
      <c r="K11" s="19">
        <f>IF(AND(A11="",C11="",D11=""),"",IF(A11="","Missing the date in column A",IF(OR(C11="",D11=""),IF(I11="Bracket","OK - bracket TBD","Missing a team"),IF(C11=D11,"Same team twice",IF(AND(COUNTIF(Teams!$B$5:$B$204,C11)=0,NOT(SUMPRODUCT(--ISNUMBER(SEARCH(","&amp;C11&amp;",",","&amp;SUBSTITUTE(SUBSTITUTE(Teams!$E$5:$E$204,", ",",")," ,",",")&amp;",")))&gt;0)),"Away team not on Teams tab",IF(AND(COUNTIF(Teams!$B$5:$B$204,D11)=0,NOT(SUMPRODUCT(--ISNUMBER(SEARCH(","&amp;D11&amp;",",","&amp;SUBSTITUTE(SUBSTITUTE(Teams!$E$5:$E$204,", ",",")," ,",",")&amp;",")))&gt;0)),"Home team not on Teams tab",IF(AND(E11&lt;&gt;"",F11=""),"Only one score entered",IF(AND(F11&lt;&gt;"",E11=""),"Only one score entered","OK"))))))))</f>
        <v/>
      </c>
    </row>
    <row r="12">
      <c r="A12" s="16" t="inlineStr">
        <is>
          <t>2026-07-27</t>
        </is>
      </c>
      <c r="B12" s="17" t="inlineStr">
        <is>
          <t>7:10 PM</t>
        </is>
      </c>
      <c r="C12" s="12" t="inlineStr">
        <is>
          <t>Cheektowaga Warriors</t>
        </is>
      </c>
      <c r="D12" s="12" t="inlineStr">
        <is>
          <t>West Seneca Wings</t>
        </is>
      </c>
      <c r="E12" s="18" t="n">
        <v>1</v>
      </c>
      <c r="F12" s="18" t="n">
        <v>6</v>
      </c>
      <c r="G12" s="13" t="inlineStr">
        <is>
          <t>West Seneca Ice Arena</t>
        </is>
      </c>
      <c r="H12" s="13" t="n"/>
      <c r="I12" s="13" t="inlineStr">
        <is>
          <t>League</t>
        </is>
      </c>
      <c r="J12" s="13" t="n"/>
      <c r="K12" s="19">
        <f>IF(AND(A12="",C12="",D12=""),"",IF(A12="","Missing the date in column A",IF(OR(C12="",D12=""),IF(I12="Bracket","OK - bracket TBD","Missing a team"),IF(C12=D12,"Same team twice",IF(AND(COUNTIF(Teams!$B$5:$B$204,C12)=0,NOT(SUMPRODUCT(--ISNUMBER(SEARCH(","&amp;C12&amp;",",","&amp;SUBSTITUTE(SUBSTITUTE(Teams!$E$5:$E$204,", ",",")," ,",",")&amp;",")))&gt;0)),"Away team not on Teams tab",IF(AND(COUNTIF(Teams!$B$5:$B$204,D12)=0,NOT(SUMPRODUCT(--ISNUMBER(SEARCH(","&amp;D12&amp;",",","&amp;SUBSTITUTE(SUBSTITUTE(Teams!$E$5:$E$204,", ",",")," ,",",")&amp;",")))&gt;0)),"Home team not on Teams tab",IF(AND(E12&lt;&gt;"",F12=""),"Only one score entered",IF(AND(F12&lt;&gt;"",E12=""),"Only one score entered","OK"))))))))</f>
        <v/>
      </c>
    </row>
    <row r="13">
      <c r="A13" s="16" t="inlineStr">
        <is>
          <t>2026-08-01</t>
        </is>
      </c>
      <c r="B13" s="17" t="inlineStr">
        <is>
          <t>5:45 PM</t>
        </is>
      </c>
      <c r="C13" s="12" t="inlineStr">
        <is>
          <t>Southtowns Stars</t>
        </is>
      </c>
      <c r="D13" s="12" t="inlineStr">
        <is>
          <t>Hamburg Hawks</t>
        </is>
      </c>
      <c r="E13" s="18" t="n">
        <v>2</v>
      </c>
      <c r="F13" s="18" t="n">
        <v>1</v>
      </c>
      <c r="G13" s="13" t="inlineStr">
        <is>
          <t>Hamburg Ice Arena</t>
        </is>
      </c>
      <c r="H13" s="13" t="n"/>
      <c r="I13" s="13" t="inlineStr">
        <is>
          <t>League</t>
        </is>
      </c>
      <c r="J13" s="13" t="n"/>
      <c r="K13" s="19">
        <f>IF(AND(A13="",C13="",D13=""),"",IF(A13="","Missing the date in column A",IF(OR(C13="",D13=""),IF(I13="Bracket","OK - bracket TBD","Missing a team"),IF(C13=D13,"Same team twice",IF(AND(COUNTIF(Teams!$B$5:$B$204,C13)=0,NOT(SUMPRODUCT(--ISNUMBER(SEARCH(","&amp;C13&amp;",",","&amp;SUBSTITUTE(SUBSTITUTE(Teams!$E$5:$E$204,", ",",")," ,",",")&amp;",")))&gt;0)),"Away team not on Teams tab",IF(AND(COUNTIF(Teams!$B$5:$B$204,D13)=0,NOT(SUMPRODUCT(--ISNUMBER(SEARCH(","&amp;D13&amp;",",","&amp;SUBSTITUTE(SUBSTITUTE(Teams!$E$5:$E$204,", ",",")," ,",",")&amp;",")))&gt;0)),"Home team not on Teams tab",IF(AND(E13&lt;&gt;"",F13=""),"Only one score entered",IF(AND(F13&lt;&gt;"",E13=""),"Only one score entered","OK"))))))))</f>
        <v/>
      </c>
    </row>
    <row r="14">
      <c r="A14" s="16" t="inlineStr">
        <is>
          <t>2026-08-03</t>
        </is>
      </c>
      <c r="B14" s="17" t="inlineStr">
        <is>
          <t>7:00 PM</t>
        </is>
      </c>
      <c r="C14" s="12" t="inlineStr">
        <is>
          <t>Amherst Knights</t>
        </is>
      </c>
      <c r="D14" s="12" t="inlineStr">
        <is>
          <t>Buffalo Regals</t>
        </is>
      </c>
      <c r="E14" s="18" t="n">
        <v>3</v>
      </c>
      <c r="F14" s="18" t="n">
        <v>2</v>
      </c>
      <c r="G14" s="13" t="inlineStr">
        <is>
          <t>Northtown Center</t>
        </is>
      </c>
      <c r="H14" s="13" t="n"/>
      <c r="I14" s="13" t="inlineStr">
        <is>
          <t>League</t>
        </is>
      </c>
      <c r="J14" s="13" t="n"/>
      <c r="K14" s="19">
        <f>IF(AND(A14="",C14="",D14=""),"",IF(A14="","Missing the date in column A",IF(OR(C14="",D14=""),IF(I14="Bracket","OK - bracket TBD","Missing a team"),IF(C14=D14,"Same team twice",IF(AND(COUNTIF(Teams!$B$5:$B$204,C14)=0,NOT(SUMPRODUCT(--ISNUMBER(SEARCH(","&amp;C14&amp;",",","&amp;SUBSTITUTE(SUBSTITUTE(Teams!$E$5:$E$204,", ",",")," ,",",")&amp;",")))&gt;0)),"Away team not on Teams tab",IF(AND(COUNTIF(Teams!$B$5:$B$204,D14)=0,NOT(SUMPRODUCT(--ISNUMBER(SEARCH(","&amp;D14&amp;",",","&amp;SUBSTITUTE(SUBSTITUTE(Teams!$E$5:$E$204,", ",",")," ,",",")&amp;",")))&gt;0)),"Home team not on Teams tab",IF(AND(E14&lt;&gt;"",F14=""),"Only one score entered",IF(AND(F14&lt;&gt;"",E14=""),"Only one score entered","OK"))))))))</f>
        <v/>
      </c>
    </row>
    <row r="15">
      <c r="A15" s="16" t="inlineStr">
        <is>
          <t>2026-08-08</t>
        </is>
      </c>
      <c r="B15" s="17" t="inlineStr">
        <is>
          <t>8:15 PM</t>
        </is>
      </c>
      <c r="C15" s="12" t="inlineStr">
        <is>
          <t>West Seneca Wings</t>
        </is>
      </c>
      <c r="D15" s="12" t="inlineStr">
        <is>
          <t>Niagara Jr Purple Eagles</t>
        </is>
      </c>
      <c r="E15" s="18" t="n">
        <v>4</v>
      </c>
      <c r="F15" s="18" t="n">
        <v>1</v>
      </c>
      <c r="G15" s="13" t="inlineStr">
        <is>
          <t>Niagara Ice Center</t>
        </is>
      </c>
      <c r="H15" s="13" t="n"/>
      <c r="I15" s="13" t="inlineStr">
        <is>
          <t>League</t>
        </is>
      </c>
      <c r="J15" s="13" t="n"/>
      <c r="K15" s="19">
        <f>IF(AND(A15="",C15="",D15=""),"",IF(A15="","Missing the date in column A",IF(OR(C15="",D15=""),IF(I15="Bracket","OK - bracket TBD","Missing a team"),IF(C15=D15,"Same team twice",IF(AND(COUNTIF(Teams!$B$5:$B$204,C15)=0,NOT(SUMPRODUCT(--ISNUMBER(SEARCH(","&amp;C15&amp;",",","&amp;SUBSTITUTE(SUBSTITUTE(Teams!$E$5:$E$204,", ",",")," ,",",")&amp;",")))&gt;0)),"Away team not on Teams tab",IF(AND(COUNTIF(Teams!$B$5:$B$204,D15)=0,NOT(SUMPRODUCT(--ISNUMBER(SEARCH(","&amp;D15&amp;",",","&amp;SUBSTITUTE(SUBSTITUTE(Teams!$E$5:$E$204,", ",",")," ,",",")&amp;",")))&gt;0)),"Home team not on Teams tab",IF(AND(E15&lt;&gt;"",F15=""),"Only one score entered",IF(AND(F15&lt;&gt;"",E15=""),"Only one score entered","OK"))))))))</f>
        <v/>
      </c>
    </row>
    <row r="16">
      <c r="A16" s="16" t="inlineStr">
        <is>
          <t>2026-08-10</t>
        </is>
      </c>
      <c r="B16" s="17" t="inlineStr">
        <is>
          <t>6:30 PM</t>
        </is>
      </c>
      <c r="C16" s="12" t="inlineStr">
        <is>
          <t>Depew Saints</t>
        </is>
      </c>
      <c r="D16" s="12" t="inlineStr">
        <is>
          <t>Cheektowaga Warriors</t>
        </is>
      </c>
      <c r="E16" s="18" t="n">
        <v>2</v>
      </c>
      <c r="F16" s="18" t="n">
        <v>5</v>
      </c>
      <c r="G16" s="13" t="inlineStr">
        <is>
          <t>Cheektowaga Ice Rink</t>
        </is>
      </c>
      <c r="H16" s="13" t="n"/>
      <c r="I16" s="13" t="inlineStr">
        <is>
          <t>League</t>
        </is>
      </c>
      <c r="J16" s="13" t="n"/>
      <c r="K16" s="19">
        <f>IF(AND(A16="",C16="",D16=""),"",IF(A16="","Missing the date in column A",IF(OR(C16="",D16=""),IF(I16="Bracket","OK - bracket TBD","Missing a team"),IF(C16=D16,"Same team twice",IF(AND(COUNTIF(Teams!$B$5:$B$204,C16)=0,NOT(SUMPRODUCT(--ISNUMBER(SEARCH(","&amp;C16&amp;",",","&amp;SUBSTITUTE(SUBSTITUTE(Teams!$E$5:$E$204,", ",",")," ,",",")&amp;",")))&gt;0)),"Away team not on Teams tab",IF(AND(COUNTIF(Teams!$B$5:$B$204,D16)=0,NOT(SUMPRODUCT(--ISNUMBER(SEARCH(","&amp;D16&amp;",",","&amp;SUBSTITUTE(SUBSTITUTE(Teams!$E$5:$E$204,", ",",")," ,",",")&amp;",")))&gt;0)),"Home team not on Teams tab",IF(AND(E16&lt;&gt;"",F16=""),"Only one score entered",IF(AND(F16&lt;&gt;"",E16=""),"Only one score entered","OK"))))))))</f>
        <v/>
      </c>
    </row>
    <row r="17">
      <c r="A17" s="16" t="inlineStr">
        <is>
          <t>2026-08-15</t>
        </is>
      </c>
      <c r="B17" s="17" t="inlineStr">
        <is>
          <t>7:10 PM</t>
        </is>
      </c>
      <c r="C17" s="12" t="inlineStr">
        <is>
          <t>Hamburg Hawks</t>
        </is>
      </c>
      <c r="D17" s="12" t="inlineStr">
        <is>
          <t>West Seneca Wings</t>
        </is>
      </c>
      <c r="E17" s="18" t="n">
        <v>3</v>
      </c>
      <c r="F17" s="18" t="n">
        <v>4</v>
      </c>
      <c r="G17" s="13" t="inlineStr">
        <is>
          <t>West Seneca Ice Arena</t>
        </is>
      </c>
      <c r="H17" s="13" t="n"/>
      <c r="I17" s="13" t="inlineStr">
        <is>
          <t>League</t>
        </is>
      </c>
      <c r="J17" s="13" t="n"/>
      <c r="K17" s="19">
        <f>IF(AND(A17="",C17="",D17=""),"",IF(A17="","Missing the date in column A",IF(OR(C17="",D17=""),IF(I17="Bracket","OK - bracket TBD","Missing a team"),IF(C17=D17,"Same team twice",IF(AND(COUNTIF(Teams!$B$5:$B$204,C17)=0,NOT(SUMPRODUCT(--ISNUMBER(SEARCH(","&amp;C17&amp;",",","&amp;SUBSTITUTE(SUBSTITUTE(Teams!$E$5:$E$204,", ",",")," ,",",")&amp;",")))&gt;0)),"Away team not on Teams tab",IF(AND(COUNTIF(Teams!$B$5:$B$204,D17)=0,NOT(SUMPRODUCT(--ISNUMBER(SEARCH(","&amp;D17&amp;",",","&amp;SUBSTITUTE(SUBSTITUTE(Teams!$E$5:$E$204,", ",",")," ,",",")&amp;",")))&gt;0)),"Home team not on Teams tab",IF(AND(E17&lt;&gt;"",F17=""),"Only one score entered",IF(AND(F17&lt;&gt;"",E17=""),"Only one score entered","OK"))))))))</f>
        <v/>
      </c>
    </row>
    <row r="18">
      <c r="A18" s="16" t="inlineStr">
        <is>
          <t>2026-08-22</t>
        </is>
      </c>
      <c r="B18" s="17" t="inlineStr">
        <is>
          <t>4:30 PM</t>
        </is>
      </c>
      <c r="C18" s="12" t="inlineStr">
        <is>
          <t>Southtowns Stars</t>
        </is>
      </c>
      <c r="D18" s="12" t="inlineStr">
        <is>
          <t>Amherst Knights</t>
        </is>
      </c>
      <c r="E18" s="18" t="n">
        <v>1</v>
      </c>
      <c r="F18" s="18" t="n">
        <v>1</v>
      </c>
      <c r="G18" s="13" t="inlineStr">
        <is>
          <t>Northtown Center</t>
        </is>
      </c>
      <c r="H18" s="13" t="n"/>
      <c r="I18" s="13" t="inlineStr">
        <is>
          <t>League</t>
        </is>
      </c>
      <c r="J18" s="13" t="n"/>
      <c r="K18" s="19">
        <f>IF(AND(A18="",C18="",D18=""),"",IF(A18="","Missing the date in column A",IF(OR(C18="",D18=""),IF(I18="Bracket","OK - bracket TBD","Missing a team"),IF(C18=D18,"Same team twice",IF(AND(COUNTIF(Teams!$B$5:$B$204,C18)=0,NOT(SUMPRODUCT(--ISNUMBER(SEARCH(","&amp;C18&amp;",",","&amp;SUBSTITUTE(SUBSTITUTE(Teams!$E$5:$E$204,", ",",")," ,",",")&amp;",")))&gt;0)),"Away team not on Teams tab",IF(AND(COUNTIF(Teams!$B$5:$B$204,D18)=0,NOT(SUMPRODUCT(--ISNUMBER(SEARCH(","&amp;D18&amp;",",","&amp;SUBSTITUTE(SUBSTITUTE(Teams!$E$5:$E$204,", ",",")," ,",",")&amp;",")))&gt;0)),"Home team not on Teams tab",IF(AND(E18&lt;&gt;"",F18=""),"Only one score entered",IF(AND(F18&lt;&gt;"",E18=""),"Only one score entered","OK"))))))))</f>
        <v/>
      </c>
    </row>
    <row r="19">
      <c r="A19" s="16" t="inlineStr">
        <is>
          <t>2026-09-03</t>
        </is>
      </c>
      <c r="B19" s="17" t="inlineStr">
        <is>
          <t>7:10 PM</t>
        </is>
      </c>
      <c r="C19" s="12" t="inlineStr">
        <is>
          <t>West Seneca Wings</t>
        </is>
      </c>
      <c r="D19" s="12" t="inlineStr">
        <is>
          <t>Depew Saints</t>
        </is>
      </c>
      <c r="E19" s="18" t="n"/>
      <c r="F19" s="18" t="n"/>
      <c r="G19" s="13" t="inlineStr">
        <is>
          <t>Depew Ice Rink</t>
        </is>
      </c>
      <c r="H19" s="13" t="n"/>
      <c r="I19" s="13" t="inlineStr">
        <is>
          <t>League</t>
        </is>
      </c>
      <c r="J19" s="13" t="n"/>
      <c r="K19" s="19">
        <f>IF(AND(A19="",C19="",D19=""),"",IF(A19="","Missing the date in column A",IF(OR(C19="",D19=""),IF(I19="Bracket","OK - bracket TBD","Missing a team"),IF(C19=D19,"Same team twice",IF(AND(COUNTIF(Teams!$B$5:$B$204,C19)=0,NOT(SUMPRODUCT(--ISNUMBER(SEARCH(","&amp;C19&amp;",",","&amp;SUBSTITUTE(SUBSTITUTE(Teams!$E$5:$E$204,", ",",")," ,",",")&amp;",")))&gt;0)),"Away team not on Teams tab",IF(AND(COUNTIF(Teams!$B$5:$B$204,D19)=0,NOT(SUMPRODUCT(--ISNUMBER(SEARCH(","&amp;D19&amp;",",","&amp;SUBSTITUTE(SUBSTITUTE(Teams!$E$5:$E$204,", ",",")," ,",",")&amp;",")))&gt;0)),"Home team not on Teams tab",IF(AND(E19&lt;&gt;"",F19=""),"Only one score entered",IF(AND(F19&lt;&gt;"",E19=""),"Only one score entered","OK"))))))))</f>
        <v/>
      </c>
    </row>
    <row r="20">
      <c r="A20" s="16" t="inlineStr">
        <is>
          <t>2026-09-06</t>
        </is>
      </c>
      <c r="B20" s="17" t="inlineStr">
        <is>
          <t>9:00 AM</t>
        </is>
      </c>
      <c r="C20" s="12" t="inlineStr">
        <is>
          <t>Buffalo Regals</t>
        </is>
      </c>
      <c r="D20" s="12" t="inlineStr">
        <is>
          <t>West Seneca Wings</t>
        </is>
      </c>
      <c r="E20" s="18" t="n"/>
      <c r="F20" s="18" t="n"/>
      <c r="G20" s="13" t="inlineStr">
        <is>
          <t>West Seneca Ice Arena</t>
        </is>
      </c>
      <c r="H20" s="13" t="n"/>
      <c r="I20" s="13" t="inlineStr">
        <is>
          <t>League</t>
        </is>
      </c>
      <c r="J20" s="13" t="n"/>
      <c r="K20" s="19">
        <f>IF(AND(A20="",C20="",D20=""),"",IF(A20="","Missing the date in column A",IF(OR(C20="",D20=""),IF(I20="Bracket","OK - bracket TBD","Missing a team"),IF(C20=D20,"Same team twice",IF(AND(COUNTIF(Teams!$B$5:$B$204,C20)=0,NOT(SUMPRODUCT(--ISNUMBER(SEARCH(","&amp;C20&amp;",",","&amp;SUBSTITUTE(SUBSTITUTE(Teams!$E$5:$E$204,", ",",")," ,",",")&amp;",")))&gt;0)),"Away team not on Teams tab",IF(AND(COUNTIF(Teams!$B$5:$B$204,D20)=0,NOT(SUMPRODUCT(--ISNUMBER(SEARCH(","&amp;D20&amp;",",","&amp;SUBSTITUTE(SUBSTITUTE(Teams!$E$5:$E$204,", ",",")," ,",",")&amp;",")))&gt;0)),"Home team not on Teams tab",IF(AND(E20&lt;&gt;"",F20=""),"Only one score entered",IF(AND(F20&lt;&gt;"",E20=""),"Only one score entered","OK"))))))))</f>
        <v/>
      </c>
    </row>
    <row r="21">
      <c r="A21" s="16" t="inlineStr">
        <is>
          <t>2026-09-06</t>
        </is>
      </c>
      <c r="B21" s="17" t="inlineStr">
        <is>
          <t>11:20 AM</t>
        </is>
      </c>
      <c r="C21" s="12" t="inlineStr">
        <is>
          <t>Cheektowaga Warriors</t>
        </is>
      </c>
      <c r="D21" s="12" t="inlineStr">
        <is>
          <t>Southtowns Stars</t>
        </is>
      </c>
      <c r="E21" s="18" t="n"/>
      <c r="F21" s="18" t="n"/>
      <c r="G21" s="13" t="inlineStr">
        <is>
          <t>Hamburg Ice Arena</t>
        </is>
      </c>
      <c r="H21" s="13" t="n"/>
      <c r="I21" s="13" t="inlineStr">
        <is>
          <t>League</t>
        </is>
      </c>
      <c r="J21" s="13" t="n"/>
      <c r="K21" s="19">
        <f>IF(AND(A21="",C21="",D21=""),"",IF(A21="","Missing the date in column A",IF(OR(C21="",D21=""),IF(I21="Bracket","OK - bracket TBD","Missing a team"),IF(C21=D21,"Same team twice",IF(AND(COUNTIF(Teams!$B$5:$B$204,C21)=0,NOT(SUMPRODUCT(--ISNUMBER(SEARCH(","&amp;C21&amp;",",","&amp;SUBSTITUTE(SUBSTITUTE(Teams!$E$5:$E$204,", ",",")," ,",",")&amp;",")))&gt;0)),"Away team not on Teams tab",IF(AND(COUNTIF(Teams!$B$5:$B$204,D21)=0,NOT(SUMPRODUCT(--ISNUMBER(SEARCH(","&amp;D21&amp;",",","&amp;SUBSTITUTE(SUBSTITUTE(Teams!$E$5:$E$204,", ",",")," ,",",")&amp;",")))&gt;0)),"Home team not on Teams tab",IF(AND(E21&lt;&gt;"",F21=""),"Only one score entered",IF(AND(F21&lt;&gt;"",E21=""),"Only one score entered","OK"))))))))</f>
        <v/>
      </c>
    </row>
    <row r="22">
      <c r="A22" s="16" t="inlineStr">
        <is>
          <t>2026-08-28</t>
        </is>
      </c>
      <c r="B22" s="17" t="inlineStr">
        <is>
          <t>5:20 PM</t>
        </is>
      </c>
      <c r="C22" s="12" t="inlineStr">
        <is>
          <t>Buffalo Regals</t>
        </is>
      </c>
      <c r="D22" s="12" t="inlineStr">
        <is>
          <t>West Seneca Wings</t>
        </is>
      </c>
      <c r="E22" s="18" t="n">
        <v>1</v>
      </c>
      <c r="F22" s="18" t="n">
        <v>4</v>
      </c>
      <c r="G22" s="13" t="inlineStr">
        <is>
          <t>Northtown Center — Rink 1</t>
        </is>
      </c>
      <c r="H22" s="13" t="inlineStr">
        <is>
          <t>Pool A</t>
        </is>
      </c>
      <c r="I22" s="13" t="inlineStr">
        <is>
          <t>Pool</t>
        </is>
      </c>
      <c r="J22" s="13" t="inlineStr">
        <is>
          <t>Queen City Classic</t>
        </is>
      </c>
      <c r="K22" s="19">
        <f>IF(AND(A22="",C22="",D22=""),"",IF(A22="","Missing the date in column A",IF(OR(C22="",D22=""),IF(I22="Bracket","OK - bracket TBD","Missing a team"),IF(C22=D22,"Same team twice",IF(AND(COUNTIF(Teams!$B$5:$B$204,C22)=0,NOT(SUMPRODUCT(--ISNUMBER(SEARCH(","&amp;C22&amp;",",","&amp;SUBSTITUTE(SUBSTITUTE(Teams!$E$5:$E$204,", ",",")," ,",",")&amp;",")))&gt;0)),"Away team not on Teams tab",IF(AND(COUNTIF(Teams!$B$5:$B$204,D22)=0,NOT(SUMPRODUCT(--ISNUMBER(SEARCH(","&amp;D22&amp;",",","&amp;SUBSTITUTE(SUBSTITUTE(Teams!$E$5:$E$204,", ",",")," ,",",")&amp;",")))&gt;0)),"Home team not on Teams tab",IF(AND(E22&lt;&gt;"",F22=""),"Only one score entered",IF(AND(F22&lt;&gt;"",E22=""),"Only one score entered","OK"))))))))</f>
        <v/>
      </c>
    </row>
    <row r="23">
      <c r="A23" s="16" t="inlineStr">
        <is>
          <t>2026-08-28</t>
        </is>
      </c>
      <c r="B23" s="17" t="inlineStr">
        <is>
          <t>7:00 PM</t>
        </is>
      </c>
      <c r="C23" s="12" t="inlineStr">
        <is>
          <t>Hamburg Hawks</t>
        </is>
      </c>
      <c r="D23" s="12" t="inlineStr">
        <is>
          <t>Amherst Knights</t>
        </is>
      </c>
      <c r="E23" s="18" t="n">
        <v>0</v>
      </c>
      <c r="F23" s="18" t="n">
        <v>6</v>
      </c>
      <c r="G23" s="13" t="inlineStr">
        <is>
          <t>Northtown Center — Rink 2</t>
        </is>
      </c>
      <c r="H23" s="13" t="inlineStr">
        <is>
          <t>Pool A</t>
        </is>
      </c>
      <c r="I23" s="13" t="inlineStr">
        <is>
          <t>Pool</t>
        </is>
      </c>
      <c r="J23" s="13" t="inlineStr">
        <is>
          <t>Queen City Classic</t>
        </is>
      </c>
      <c r="K23" s="19">
        <f>IF(AND(A23="",C23="",D23=""),"",IF(A23="","Missing the date in column A",IF(OR(C23="",D23=""),IF(I23="Bracket","OK - bracket TBD","Missing a team"),IF(C23=D23,"Same team twice",IF(AND(COUNTIF(Teams!$B$5:$B$204,C23)=0,NOT(SUMPRODUCT(--ISNUMBER(SEARCH(","&amp;C23&amp;",",","&amp;SUBSTITUTE(SUBSTITUTE(Teams!$E$5:$E$204,", ",",")," ,",",")&amp;",")))&gt;0)),"Away team not on Teams tab",IF(AND(COUNTIF(Teams!$B$5:$B$204,D23)=0,NOT(SUMPRODUCT(--ISNUMBER(SEARCH(","&amp;D23&amp;",",","&amp;SUBSTITUTE(SUBSTITUTE(Teams!$E$5:$E$204,", ",",")," ,",",")&amp;",")))&gt;0)),"Home team not on Teams tab",IF(AND(E23&lt;&gt;"",F23=""),"Only one score entered",IF(AND(F23&lt;&gt;"",E23=""),"Only one score entered","OK"))))))))</f>
        <v/>
      </c>
    </row>
    <row r="24">
      <c r="A24" s="16" t="inlineStr">
        <is>
          <t>2026-08-29</t>
        </is>
      </c>
      <c r="B24" s="17" t="inlineStr">
        <is>
          <t>9:40 AM</t>
        </is>
      </c>
      <c r="C24" s="12" t="inlineStr">
        <is>
          <t>Amherst Knights</t>
        </is>
      </c>
      <c r="D24" s="12" t="inlineStr">
        <is>
          <t>West Seneca Wings</t>
        </is>
      </c>
      <c r="E24" s="18" t="n">
        <v>2</v>
      </c>
      <c r="F24" s="18" t="n">
        <v>3</v>
      </c>
      <c r="G24" s="13" t="inlineStr">
        <is>
          <t>Northtown Center — Rink 1</t>
        </is>
      </c>
      <c r="H24" s="13" t="inlineStr">
        <is>
          <t>Pool A</t>
        </is>
      </c>
      <c r="I24" s="13" t="inlineStr">
        <is>
          <t>Pool</t>
        </is>
      </c>
      <c r="J24" s="13" t="inlineStr">
        <is>
          <t>Queen City Classic</t>
        </is>
      </c>
      <c r="K24" s="19">
        <f>IF(AND(A24="",C24="",D24=""),"",IF(A24="","Missing the date in column A",IF(OR(C24="",D24=""),IF(I24="Bracket","OK - bracket TBD","Missing a team"),IF(C24=D24,"Same team twice",IF(AND(COUNTIF(Teams!$B$5:$B$204,C24)=0,NOT(SUMPRODUCT(--ISNUMBER(SEARCH(","&amp;C24&amp;",",","&amp;SUBSTITUTE(SUBSTITUTE(Teams!$E$5:$E$204,", ",",")," ,",",")&amp;",")))&gt;0)),"Away team not on Teams tab",IF(AND(COUNTIF(Teams!$B$5:$B$204,D24)=0,NOT(SUMPRODUCT(--ISNUMBER(SEARCH(","&amp;D24&amp;",",","&amp;SUBSTITUTE(SUBSTITUTE(Teams!$E$5:$E$204,", ",",")," ,",",")&amp;",")))&gt;0)),"Home team not on Teams tab",IF(AND(E24&lt;&gt;"",F24=""),"Only one score entered",IF(AND(F24&lt;&gt;"",E24=""),"Only one score entered","OK"))))))))</f>
        <v/>
      </c>
    </row>
    <row r="25">
      <c r="A25" s="16" t="inlineStr">
        <is>
          <t>2026-08-29</t>
        </is>
      </c>
      <c r="B25" s="17" t="inlineStr">
        <is>
          <t>11:20 AM</t>
        </is>
      </c>
      <c r="C25" s="12" t="inlineStr">
        <is>
          <t>Hamburg Hawks</t>
        </is>
      </c>
      <c r="D25" s="12" t="inlineStr">
        <is>
          <t>Buffalo Regals</t>
        </is>
      </c>
      <c r="E25" s="18" t="n">
        <v>1</v>
      </c>
      <c r="F25" s="18" t="n">
        <v>2</v>
      </c>
      <c r="G25" s="13" t="inlineStr">
        <is>
          <t>Northtown Center — Rink 2</t>
        </is>
      </c>
      <c r="H25" s="13" t="inlineStr">
        <is>
          <t>Pool A</t>
        </is>
      </c>
      <c r="I25" s="13" t="inlineStr">
        <is>
          <t>Pool</t>
        </is>
      </c>
      <c r="J25" s="13" t="inlineStr">
        <is>
          <t>Queen City Classic</t>
        </is>
      </c>
      <c r="K25" s="19">
        <f>IF(AND(A25="",C25="",D25=""),"",IF(A25="","Missing the date in column A",IF(OR(C25="",D25=""),IF(I25="Bracket","OK - bracket TBD","Missing a team"),IF(C25=D25,"Same team twice",IF(AND(COUNTIF(Teams!$B$5:$B$204,C25)=0,NOT(SUMPRODUCT(--ISNUMBER(SEARCH(","&amp;C25&amp;",",","&amp;SUBSTITUTE(SUBSTITUTE(Teams!$E$5:$E$204,", ",",")," ,",",")&amp;",")))&gt;0)),"Away team not on Teams tab",IF(AND(COUNTIF(Teams!$B$5:$B$204,D25)=0,NOT(SUMPRODUCT(--ISNUMBER(SEARCH(","&amp;D25&amp;",",","&amp;SUBSTITUTE(SUBSTITUTE(Teams!$E$5:$E$204,", ",",")," ,",",")&amp;",")))&gt;0)),"Home team not on Teams tab",IF(AND(E25&lt;&gt;"",F25=""),"Only one score entered",IF(AND(F25&lt;&gt;"",E25=""),"Only one score entered","OK"))))))))</f>
        <v/>
      </c>
    </row>
    <row r="26">
      <c r="A26" s="16" t="inlineStr">
        <is>
          <t>2026-08-29</t>
        </is>
      </c>
      <c r="B26" s="17" t="inlineStr">
        <is>
          <t>3:10 PM</t>
        </is>
      </c>
      <c r="C26" s="12" t="inlineStr">
        <is>
          <t>West Seneca Wings</t>
        </is>
      </c>
      <c r="D26" s="12" t="inlineStr">
        <is>
          <t>Hamburg Hawks</t>
        </is>
      </c>
      <c r="E26" s="18" t="n">
        <v>2</v>
      </c>
      <c r="F26" s="18" t="n">
        <v>5</v>
      </c>
      <c r="G26" s="13" t="inlineStr">
        <is>
          <t>Northtown Center — Rink 1</t>
        </is>
      </c>
      <c r="H26" s="13" t="inlineStr">
        <is>
          <t>Pool A</t>
        </is>
      </c>
      <c r="I26" s="13" t="inlineStr">
        <is>
          <t>Pool</t>
        </is>
      </c>
      <c r="J26" s="13" t="inlineStr">
        <is>
          <t>Queen City Classic</t>
        </is>
      </c>
      <c r="K26" s="19">
        <f>IF(AND(A26="",C26="",D26=""),"",IF(A26="","Missing the date in column A",IF(OR(C26="",D26=""),IF(I26="Bracket","OK - bracket TBD","Missing a team"),IF(C26=D26,"Same team twice",IF(AND(COUNTIF(Teams!$B$5:$B$204,C26)=0,NOT(SUMPRODUCT(--ISNUMBER(SEARCH(","&amp;C26&amp;",",","&amp;SUBSTITUTE(SUBSTITUTE(Teams!$E$5:$E$204,", ",",")," ,",",")&amp;",")))&gt;0)),"Away team not on Teams tab",IF(AND(COUNTIF(Teams!$B$5:$B$204,D26)=0,NOT(SUMPRODUCT(--ISNUMBER(SEARCH(","&amp;D26&amp;",",","&amp;SUBSTITUTE(SUBSTITUTE(Teams!$E$5:$E$204,", ",",")," ,",",")&amp;",")))&gt;0)),"Home team not on Teams tab",IF(AND(E26&lt;&gt;"",F26=""),"Only one score entered",IF(AND(F26&lt;&gt;"",E26=""),"Only one score entered","OK"))))))))</f>
        <v/>
      </c>
    </row>
    <row r="27">
      <c r="A27" s="16" t="inlineStr">
        <is>
          <t>2026-08-29</t>
        </is>
      </c>
      <c r="B27" s="17" t="inlineStr">
        <is>
          <t>4:50 PM</t>
        </is>
      </c>
      <c r="C27" s="12" t="inlineStr">
        <is>
          <t>Buffalo Regals</t>
        </is>
      </c>
      <c r="D27" s="12" t="inlineStr">
        <is>
          <t>Amherst Knights</t>
        </is>
      </c>
      <c r="E27" s="18" t="n">
        <v>1</v>
      </c>
      <c r="F27" s="18" t="n">
        <v>4</v>
      </c>
      <c r="G27" s="13" t="inlineStr">
        <is>
          <t>Northtown Center — Rink 2</t>
        </is>
      </c>
      <c r="H27" s="13" t="inlineStr">
        <is>
          <t>Pool A</t>
        </is>
      </c>
      <c r="I27" s="13" t="inlineStr">
        <is>
          <t>Pool</t>
        </is>
      </c>
      <c r="J27" s="13" t="inlineStr">
        <is>
          <t>Queen City Classic</t>
        </is>
      </c>
      <c r="K27" s="19">
        <f>IF(AND(A27="",C27="",D27=""),"",IF(A27="","Missing the date in column A",IF(OR(C27="",D27=""),IF(I27="Bracket","OK - bracket TBD","Missing a team"),IF(C27=D27,"Same team twice",IF(AND(COUNTIF(Teams!$B$5:$B$204,C27)=0,NOT(SUMPRODUCT(--ISNUMBER(SEARCH(","&amp;C27&amp;",",","&amp;SUBSTITUTE(SUBSTITUTE(Teams!$E$5:$E$204,", ",",")," ,",",")&amp;",")))&gt;0)),"Away team not on Teams tab",IF(AND(COUNTIF(Teams!$B$5:$B$204,D27)=0,NOT(SUMPRODUCT(--ISNUMBER(SEARCH(","&amp;D27&amp;",",","&amp;SUBSTITUTE(SUBSTITUTE(Teams!$E$5:$E$204,", ",",")," ,",",")&amp;",")))&gt;0)),"Home team not on Teams tab",IF(AND(E27&lt;&gt;"",F27=""),"Only one score entered",IF(AND(F27&lt;&gt;"",E27=""),"Only one score entered","OK"))))))))</f>
        <v/>
      </c>
    </row>
    <row r="28">
      <c r="A28" s="16" t="inlineStr">
        <is>
          <t>2026-08-28</t>
        </is>
      </c>
      <c r="B28" s="17" t="inlineStr">
        <is>
          <t>6:10 PM</t>
        </is>
      </c>
      <c r="C28" s="12" t="inlineStr">
        <is>
          <t>Depew Saints</t>
        </is>
      </c>
      <c r="D28" s="12" t="inlineStr">
        <is>
          <t>Southtowns Stars</t>
        </is>
      </c>
      <c r="E28" s="18" t="n">
        <v>2</v>
      </c>
      <c r="F28" s="18" t="n">
        <v>3</v>
      </c>
      <c r="G28" s="13" t="inlineStr">
        <is>
          <t>Northtown Center — Rink 2</t>
        </is>
      </c>
      <c r="H28" s="13" t="inlineStr">
        <is>
          <t>Pool B</t>
        </is>
      </c>
      <c r="I28" s="13" t="inlineStr">
        <is>
          <t>Pool</t>
        </is>
      </c>
      <c r="J28" s="13" t="inlineStr">
        <is>
          <t>Queen City Classic</t>
        </is>
      </c>
      <c r="K28" s="19">
        <f>IF(AND(A28="",C28="",D28=""),"",IF(A28="","Missing the date in column A",IF(OR(C28="",D28=""),IF(I28="Bracket","OK - bracket TBD","Missing a team"),IF(C28=D28,"Same team twice",IF(AND(COUNTIF(Teams!$B$5:$B$204,C28)=0,NOT(SUMPRODUCT(--ISNUMBER(SEARCH(","&amp;C28&amp;",",","&amp;SUBSTITUTE(SUBSTITUTE(Teams!$E$5:$E$204,", ",",")," ,",",")&amp;",")))&gt;0)),"Away team not on Teams tab",IF(AND(COUNTIF(Teams!$B$5:$B$204,D28)=0,NOT(SUMPRODUCT(--ISNUMBER(SEARCH(","&amp;D28&amp;",",","&amp;SUBSTITUTE(SUBSTITUTE(Teams!$E$5:$E$204,", ",",")," ,",",")&amp;",")))&gt;0)),"Home team not on Teams tab",IF(AND(E28&lt;&gt;"",F28=""),"Only one score entered",IF(AND(F28&lt;&gt;"",E28=""),"Only one score entered","OK"))))))))</f>
        <v/>
      </c>
    </row>
    <row r="29">
      <c r="A29" s="16" t="inlineStr">
        <is>
          <t>2026-08-28</t>
        </is>
      </c>
      <c r="B29" s="17" t="inlineStr">
        <is>
          <t>8:40 PM</t>
        </is>
      </c>
      <c r="C29" s="12" t="inlineStr">
        <is>
          <t>Cheektowaga Warriors</t>
        </is>
      </c>
      <c r="D29" s="12" t="inlineStr">
        <is>
          <t>Niagara Jr Purple Eagles</t>
        </is>
      </c>
      <c r="E29" s="18" t="n">
        <v>4</v>
      </c>
      <c r="F29" s="18" t="n">
        <v>2</v>
      </c>
      <c r="G29" s="13" t="inlineStr">
        <is>
          <t>Northtown Center — Rink 1</t>
        </is>
      </c>
      <c r="H29" s="13" t="inlineStr">
        <is>
          <t>Pool B</t>
        </is>
      </c>
      <c r="I29" s="13" t="inlineStr">
        <is>
          <t>Pool</t>
        </is>
      </c>
      <c r="J29" s="13" t="inlineStr">
        <is>
          <t>Queen City Classic</t>
        </is>
      </c>
      <c r="K29" s="19">
        <f>IF(AND(A29="",C29="",D29=""),"",IF(A29="","Missing the date in column A",IF(OR(C29="",D29=""),IF(I29="Bracket","OK - bracket TBD","Missing a team"),IF(C29=D29,"Same team twice",IF(AND(COUNTIF(Teams!$B$5:$B$204,C29)=0,NOT(SUMPRODUCT(--ISNUMBER(SEARCH(","&amp;C29&amp;",",","&amp;SUBSTITUTE(SUBSTITUTE(Teams!$E$5:$E$204,", ",",")," ,",",")&amp;",")))&gt;0)),"Away team not on Teams tab",IF(AND(COUNTIF(Teams!$B$5:$B$204,D29)=0,NOT(SUMPRODUCT(--ISNUMBER(SEARCH(","&amp;D29&amp;",",","&amp;SUBSTITUTE(SUBSTITUTE(Teams!$E$5:$E$204,", ",",")," ,",",")&amp;",")))&gt;0)),"Home team not on Teams tab",IF(AND(E29&lt;&gt;"",F29=""),"Only one score entered",IF(AND(F29&lt;&gt;"",E29=""),"Only one score entered","OK"))))))))</f>
        <v/>
      </c>
    </row>
    <row r="30">
      <c r="A30" s="16" t="inlineStr">
        <is>
          <t>2026-08-29</t>
        </is>
      </c>
      <c r="B30" s="17" t="inlineStr">
        <is>
          <t>10:30 AM</t>
        </is>
      </c>
      <c r="C30" s="12" t="inlineStr">
        <is>
          <t>Southtowns Stars</t>
        </is>
      </c>
      <c r="D30" s="12" t="inlineStr">
        <is>
          <t>Cheektowaga Warriors</t>
        </is>
      </c>
      <c r="E30" s="18" t="n">
        <v>1</v>
      </c>
      <c r="F30" s="18" t="n">
        <v>1</v>
      </c>
      <c r="G30" s="13" t="inlineStr">
        <is>
          <t>Northtown Center — Rink 2</t>
        </is>
      </c>
      <c r="H30" s="13" t="inlineStr">
        <is>
          <t>Pool B</t>
        </is>
      </c>
      <c r="I30" s="13" t="inlineStr">
        <is>
          <t>Pool</t>
        </is>
      </c>
      <c r="J30" s="13" t="inlineStr">
        <is>
          <t>Queen City Classic</t>
        </is>
      </c>
      <c r="K30" s="19">
        <f>IF(AND(A30="",C30="",D30=""),"",IF(A30="","Missing the date in column A",IF(OR(C30="",D30=""),IF(I30="Bracket","OK - bracket TBD","Missing a team"),IF(C30=D30,"Same team twice",IF(AND(COUNTIF(Teams!$B$5:$B$204,C30)=0,NOT(SUMPRODUCT(--ISNUMBER(SEARCH(","&amp;C30&amp;",",","&amp;SUBSTITUTE(SUBSTITUTE(Teams!$E$5:$E$204,", ",",")," ,",",")&amp;",")))&gt;0)),"Away team not on Teams tab",IF(AND(COUNTIF(Teams!$B$5:$B$204,D30)=0,NOT(SUMPRODUCT(--ISNUMBER(SEARCH(","&amp;D30&amp;",",","&amp;SUBSTITUTE(SUBSTITUTE(Teams!$E$5:$E$204,", ",",")," ,",",")&amp;",")))&gt;0)),"Home team not on Teams tab",IF(AND(E30&lt;&gt;"",F30=""),"Only one score entered",IF(AND(F30&lt;&gt;"",E30=""),"Only one score entered","OK"))))))))</f>
        <v/>
      </c>
    </row>
    <row r="31">
      <c r="A31" s="16" t="inlineStr">
        <is>
          <t>2026-08-29</t>
        </is>
      </c>
      <c r="B31" s="17" t="inlineStr">
        <is>
          <t>1:00 PM</t>
        </is>
      </c>
      <c r="C31" s="12" t="inlineStr">
        <is>
          <t>Niagara Jr Purple Eagles</t>
        </is>
      </c>
      <c r="D31" s="12" t="inlineStr">
        <is>
          <t>Depew Saints</t>
        </is>
      </c>
      <c r="E31" s="18" t="n">
        <v>3</v>
      </c>
      <c r="F31" s="18" t="n">
        <v>0</v>
      </c>
      <c r="G31" s="13" t="inlineStr">
        <is>
          <t>Northtown Center — Rink 1</t>
        </is>
      </c>
      <c r="H31" s="13" t="inlineStr">
        <is>
          <t>Pool B</t>
        </is>
      </c>
      <c r="I31" s="13" t="inlineStr">
        <is>
          <t>Pool</t>
        </is>
      </c>
      <c r="J31" s="13" t="inlineStr">
        <is>
          <t>Queen City Classic</t>
        </is>
      </c>
      <c r="K31" s="19">
        <f>IF(AND(A31="",C31="",D31=""),"",IF(A31="","Missing the date in column A",IF(OR(C31="",D31=""),IF(I31="Bracket","OK - bracket TBD","Missing a team"),IF(C31=D31,"Same team twice",IF(AND(COUNTIF(Teams!$B$5:$B$204,C31)=0,NOT(SUMPRODUCT(--ISNUMBER(SEARCH(","&amp;C31&amp;",",","&amp;SUBSTITUTE(SUBSTITUTE(Teams!$E$5:$E$204,", ",",")," ,",",")&amp;",")))&gt;0)),"Away team not on Teams tab",IF(AND(COUNTIF(Teams!$B$5:$B$204,D31)=0,NOT(SUMPRODUCT(--ISNUMBER(SEARCH(","&amp;D31&amp;",",","&amp;SUBSTITUTE(SUBSTITUTE(Teams!$E$5:$E$204,", ",",")," ,",",")&amp;",")))&gt;0)),"Home team not on Teams tab",IF(AND(E31&lt;&gt;"",F31=""),"Only one score entered",IF(AND(F31&lt;&gt;"",E31=""),"Only one score entered","OK"))))))))</f>
        <v/>
      </c>
    </row>
    <row r="32">
      <c r="A32" s="16" t="inlineStr">
        <is>
          <t>2026-08-29</t>
        </is>
      </c>
      <c r="B32" s="17" t="inlineStr">
        <is>
          <t>6:30 PM</t>
        </is>
      </c>
      <c r="C32" s="12" t="inlineStr">
        <is>
          <t>Cheektowaga Warriors</t>
        </is>
      </c>
      <c r="D32" s="12" t="inlineStr">
        <is>
          <t>Depew Saints</t>
        </is>
      </c>
      <c r="E32" s="18" t="n"/>
      <c r="F32" s="18" t="n"/>
      <c r="G32" s="13" t="inlineStr">
        <is>
          <t>Northtown Center — Rink 2</t>
        </is>
      </c>
      <c r="H32" s="13" t="inlineStr">
        <is>
          <t>Pool B</t>
        </is>
      </c>
      <c r="I32" s="13" t="inlineStr">
        <is>
          <t>Pool</t>
        </is>
      </c>
      <c r="J32" s="13" t="inlineStr">
        <is>
          <t>Queen City Classic</t>
        </is>
      </c>
      <c r="K32" s="19">
        <f>IF(AND(A32="",C32="",D32=""),"",IF(A32="","Missing the date in column A",IF(OR(C32="",D32=""),IF(I32="Bracket","OK - bracket TBD","Missing a team"),IF(C32=D32,"Same team twice",IF(AND(COUNTIF(Teams!$B$5:$B$204,C32)=0,NOT(SUMPRODUCT(--ISNUMBER(SEARCH(","&amp;C32&amp;",",","&amp;SUBSTITUTE(SUBSTITUTE(Teams!$E$5:$E$204,", ",",")," ,",",")&amp;",")))&gt;0)),"Away team not on Teams tab",IF(AND(COUNTIF(Teams!$B$5:$B$204,D32)=0,NOT(SUMPRODUCT(--ISNUMBER(SEARCH(","&amp;D32&amp;",",","&amp;SUBSTITUTE(SUBSTITUTE(Teams!$E$5:$E$204,", ",",")," ,",",")&amp;",")))&gt;0)),"Home team not on Teams tab",IF(AND(E32&lt;&gt;"",F32=""),"Only one score entered",IF(AND(F32&lt;&gt;"",E32=""),"Only one score entered","OK"))))))))</f>
        <v/>
      </c>
    </row>
    <row r="33">
      <c r="A33" s="16" t="inlineStr">
        <is>
          <t>2026-08-29</t>
        </is>
      </c>
      <c r="B33" s="17" t="inlineStr">
        <is>
          <t>8:10 PM</t>
        </is>
      </c>
      <c r="C33" s="12" t="inlineStr">
        <is>
          <t>Southtowns Stars</t>
        </is>
      </c>
      <c r="D33" s="12" t="inlineStr">
        <is>
          <t>Niagara Jr Purple Eagles</t>
        </is>
      </c>
      <c r="E33" s="18" t="n"/>
      <c r="F33" s="18" t="n"/>
      <c r="G33" s="13" t="inlineStr">
        <is>
          <t>Northtown Center — Rink 1</t>
        </is>
      </c>
      <c r="H33" s="13" t="inlineStr">
        <is>
          <t>Pool B</t>
        </is>
      </c>
      <c r="I33" s="13" t="inlineStr">
        <is>
          <t>Pool</t>
        </is>
      </c>
      <c r="J33" s="13" t="inlineStr">
        <is>
          <t>Queen City Classic</t>
        </is>
      </c>
      <c r="K33" s="19">
        <f>IF(AND(A33="",C33="",D33=""),"",IF(A33="","Missing the date in column A",IF(OR(C33="",D33=""),IF(I33="Bracket","OK - bracket TBD","Missing a team"),IF(C33=D33,"Same team twice",IF(AND(COUNTIF(Teams!$B$5:$B$204,C33)=0,NOT(SUMPRODUCT(--ISNUMBER(SEARCH(","&amp;C33&amp;",",","&amp;SUBSTITUTE(SUBSTITUTE(Teams!$E$5:$E$204,", ",",")," ,",",")&amp;",")))&gt;0)),"Away team not on Teams tab",IF(AND(COUNTIF(Teams!$B$5:$B$204,D33)=0,NOT(SUMPRODUCT(--ISNUMBER(SEARCH(","&amp;D33&amp;",",","&amp;SUBSTITUTE(SUBSTITUTE(Teams!$E$5:$E$204,", ",",")," ,",",")&amp;",")))&gt;0)),"Home team not on Teams tab",IF(AND(E33&lt;&gt;"",F33=""),"Only one score entered",IF(AND(F33&lt;&gt;"",E33=""),"Only one score entered","OK"))))))))</f>
        <v/>
      </c>
    </row>
    <row r="34">
      <c r="A34" s="16" t="inlineStr">
        <is>
          <t>2026-08-30</t>
        </is>
      </c>
      <c r="B34" s="17" t="inlineStr">
        <is>
          <t>9:00 AM</t>
        </is>
      </c>
      <c r="C34" s="12" t="n"/>
      <c r="D34" s="12" t="n"/>
      <c r="E34" s="18" t="n"/>
      <c r="F34" s="18" t="n"/>
      <c r="G34" s="13" t="inlineStr">
        <is>
          <t>Northtown Center — Rink 1</t>
        </is>
      </c>
      <c r="H34" s="13" t="n"/>
      <c r="I34" s="13" t="inlineStr">
        <is>
          <t>Bracket</t>
        </is>
      </c>
      <c r="J34" s="13" t="inlineStr">
        <is>
          <t>Queen City Classic</t>
        </is>
      </c>
      <c r="K34" s="19">
        <f>IF(AND(A34="",C34="",D34=""),"",IF(A34="","Missing the date in column A",IF(OR(C34="",D34=""),IF(I34="Bracket","OK - bracket TBD","Missing a team"),IF(C34=D34,"Same team twice",IF(AND(COUNTIF(Teams!$B$5:$B$204,C34)=0,NOT(SUMPRODUCT(--ISNUMBER(SEARCH(","&amp;C34&amp;",",","&amp;SUBSTITUTE(SUBSTITUTE(Teams!$E$5:$E$204,", ",",")," ,",",")&amp;",")))&gt;0)),"Away team not on Teams tab",IF(AND(COUNTIF(Teams!$B$5:$B$204,D34)=0,NOT(SUMPRODUCT(--ISNUMBER(SEARCH(","&amp;D34&amp;",",","&amp;SUBSTITUTE(SUBSTITUTE(Teams!$E$5:$E$204,", ",",")," ,",",")&amp;",")))&gt;0)),"Home team not on Teams tab",IF(AND(E34&lt;&gt;"",F34=""),"Only one score entered",IF(AND(F34&lt;&gt;"",E34=""),"Only one score entered","OK"))))))))</f>
        <v/>
      </c>
    </row>
    <row r="35">
      <c r="A35" s="16" t="inlineStr">
        <is>
          <t>2026-08-30</t>
        </is>
      </c>
      <c r="B35" s="17" t="inlineStr">
        <is>
          <t>11:00 AM</t>
        </is>
      </c>
      <c r="C35" s="12" t="inlineStr">
        <is>
          <t>Amherst Knights</t>
        </is>
      </c>
      <c r="D35" s="12" t="inlineStr">
        <is>
          <t>West Seneca Wings</t>
        </is>
      </c>
      <c r="E35" s="18" t="n"/>
      <c r="F35" s="18" t="n"/>
      <c r="G35" s="13" t="inlineStr">
        <is>
          <t>Northtown Center — Rink 2</t>
        </is>
      </c>
      <c r="H35" s="13" t="n"/>
      <c r="I35" s="13" t="inlineStr">
        <is>
          <t>Bracket</t>
        </is>
      </c>
      <c r="J35" s="13" t="inlineStr">
        <is>
          <t>Queen City Classic</t>
        </is>
      </c>
      <c r="K35" s="19">
        <f>IF(AND(A35="",C35="",D35=""),"",IF(A35="","Missing the date in column A",IF(OR(C35="",D35=""),IF(I35="Bracket","OK - bracket TBD","Missing a team"),IF(C35=D35,"Same team twice",IF(AND(COUNTIF(Teams!$B$5:$B$204,C35)=0,NOT(SUMPRODUCT(--ISNUMBER(SEARCH(","&amp;C35&amp;",",","&amp;SUBSTITUTE(SUBSTITUTE(Teams!$E$5:$E$204,", ",",")," ,",",")&amp;",")))&gt;0)),"Away team not on Teams tab",IF(AND(COUNTIF(Teams!$B$5:$B$204,D35)=0,NOT(SUMPRODUCT(--ISNUMBER(SEARCH(","&amp;D35&amp;",",","&amp;SUBSTITUTE(SUBSTITUTE(Teams!$E$5:$E$204,", ",",")," ,",",")&amp;",")))&gt;0)),"Home team not on Teams tab",IF(AND(E35&lt;&gt;"",F35=""),"Only one score entered",IF(AND(F35&lt;&gt;"",E35=""),"Only one score entered","OK"))))))))</f>
        <v/>
      </c>
    </row>
    <row r="36">
      <c r="A36" s="16" t="inlineStr">
        <is>
          <t>2026-08-30</t>
        </is>
      </c>
      <c r="B36" s="17" t="inlineStr">
        <is>
          <t>2:30 PM</t>
        </is>
      </c>
      <c r="C36" s="12" t="n"/>
      <c r="D36" s="12" t="n"/>
      <c r="E36" s="18" t="n"/>
      <c r="F36" s="18" t="n"/>
      <c r="G36" s="13" t="inlineStr">
        <is>
          <t>Northtown Center — Rink 1</t>
        </is>
      </c>
      <c r="H36" s="13" t="n"/>
      <c r="I36" s="13" t="inlineStr">
        <is>
          <t>Bracket</t>
        </is>
      </c>
      <c r="J36" s="13" t="inlineStr">
        <is>
          <t>Queen City Classic</t>
        </is>
      </c>
      <c r="K36" s="19">
        <f>IF(AND(A36="",C36="",D36=""),"",IF(A36="","Missing the date in column A",IF(OR(C36="",D36=""),IF(I36="Bracket","OK - bracket TBD","Missing a team"),IF(C36=D36,"Same team twice",IF(AND(COUNTIF(Teams!$B$5:$B$204,C36)=0,NOT(SUMPRODUCT(--ISNUMBER(SEARCH(","&amp;C36&amp;",",","&amp;SUBSTITUTE(SUBSTITUTE(Teams!$E$5:$E$204,", ",",")," ,",",")&amp;",")))&gt;0)),"Away team not on Teams tab",IF(AND(COUNTIF(Teams!$B$5:$B$204,D36)=0,NOT(SUMPRODUCT(--ISNUMBER(SEARCH(","&amp;D36&amp;",",","&amp;SUBSTITUTE(SUBSTITUTE(Teams!$E$5:$E$204,", ",",")," ,",",")&amp;",")))&gt;0)),"Home team not on Teams tab",IF(AND(E36&lt;&gt;"",F36=""),"Only one score entered",IF(AND(F36&lt;&gt;"",E36=""),"Only one score entered","OK"))))))))</f>
        <v/>
      </c>
    </row>
    <row r="37">
      <c r="A37" s="16" t="n"/>
      <c r="B37" s="17" t="n"/>
      <c r="C37" s="12" t="n"/>
      <c r="D37" s="12" t="n"/>
      <c r="E37" s="18" t="n"/>
      <c r="F37" s="18" t="n"/>
      <c r="G37" s="13" t="n"/>
      <c r="H37" s="13" t="n"/>
      <c r="I37" s="13" t="n"/>
      <c r="J37" s="13" t="n"/>
      <c r="K37" s="19">
        <f>IF(AND(A37="",C37="",D37=""),"",IF(A37="","Missing the date in column A",IF(OR(C37="",D37=""),IF(I37="Bracket","OK - bracket TBD","Missing a team"),IF(C37=D37,"Same team twice",IF(AND(COUNTIF(Teams!$B$5:$B$204,C37)=0,NOT(SUMPRODUCT(--ISNUMBER(SEARCH(","&amp;C37&amp;",",","&amp;SUBSTITUTE(SUBSTITUTE(Teams!$E$5:$E$204,", ",",")," ,",",")&amp;",")))&gt;0)),"Away team not on Teams tab",IF(AND(COUNTIF(Teams!$B$5:$B$204,D37)=0,NOT(SUMPRODUCT(--ISNUMBER(SEARCH(","&amp;D37&amp;",",","&amp;SUBSTITUTE(SUBSTITUTE(Teams!$E$5:$E$204,", ",",")," ,",",")&amp;",")))&gt;0)),"Home team not on Teams tab",IF(AND(E37&lt;&gt;"",F37=""),"Only one score entered",IF(AND(F37&lt;&gt;"",E37=""),"Only one score entered","OK"))))))))</f>
        <v/>
      </c>
    </row>
    <row r="38">
      <c r="A38" s="16" t="n"/>
      <c r="B38" s="17" t="n"/>
      <c r="C38" s="12" t="n"/>
      <c r="D38" s="12" t="n"/>
      <c r="E38" s="18" t="n"/>
      <c r="F38" s="18" t="n"/>
      <c r="G38" s="13" t="n"/>
      <c r="H38" s="13" t="n"/>
      <c r="I38" s="13" t="n"/>
      <c r="J38" s="13" t="n"/>
      <c r="K38" s="19">
        <f>IF(AND(A38="",C38="",D38=""),"",IF(A38="","Missing the date in column A",IF(OR(C38="",D38=""),IF(I38="Bracket","OK - bracket TBD","Missing a team"),IF(C38=D38,"Same team twice",IF(AND(COUNTIF(Teams!$B$5:$B$204,C38)=0,NOT(SUMPRODUCT(--ISNUMBER(SEARCH(","&amp;C38&amp;",",","&amp;SUBSTITUTE(SUBSTITUTE(Teams!$E$5:$E$204,", ",",")," ,",",")&amp;",")))&gt;0)),"Away team not on Teams tab",IF(AND(COUNTIF(Teams!$B$5:$B$204,D38)=0,NOT(SUMPRODUCT(--ISNUMBER(SEARCH(","&amp;D38&amp;",",","&amp;SUBSTITUTE(SUBSTITUTE(Teams!$E$5:$E$204,", ",",")," ,",",")&amp;",")))&gt;0)),"Home team not on Teams tab",IF(AND(E38&lt;&gt;"",F38=""),"Only one score entered",IF(AND(F38&lt;&gt;"",E38=""),"Only one score entered","OK"))))))))</f>
        <v/>
      </c>
    </row>
    <row r="39">
      <c r="A39" s="16" t="n"/>
      <c r="B39" s="17" t="n"/>
      <c r="C39" s="12" t="n"/>
      <c r="D39" s="12" t="n"/>
      <c r="E39" s="18" t="n"/>
      <c r="F39" s="18" t="n"/>
      <c r="G39" s="13" t="n"/>
      <c r="H39" s="13" t="n"/>
      <c r="I39" s="13" t="n"/>
      <c r="J39" s="13" t="n"/>
      <c r="K39" s="19">
        <f>IF(AND(A39="",C39="",D39=""),"",IF(A39="","Missing the date in column A",IF(OR(C39="",D39=""),IF(I39="Bracket","OK - bracket TBD","Missing a team"),IF(C39=D39,"Same team twice",IF(AND(COUNTIF(Teams!$B$5:$B$204,C39)=0,NOT(SUMPRODUCT(--ISNUMBER(SEARCH(","&amp;C39&amp;",",","&amp;SUBSTITUTE(SUBSTITUTE(Teams!$E$5:$E$204,", ",",")," ,",",")&amp;",")))&gt;0)),"Away team not on Teams tab",IF(AND(COUNTIF(Teams!$B$5:$B$204,D39)=0,NOT(SUMPRODUCT(--ISNUMBER(SEARCH(","&amp;D39&amp;",",","&amp;SUBSTITUTE(SUBSTITUTE(Teams!$E$5:$E$204,", ",",")," ,",",")&amp;",")))&gt;0)),"Home team not on Teams tab",IF(AND(E39&lt;&gt;"",F39=""),"Only one score entered",IF(AND(F39&lt;&gt;"",E39=""),"Only one score entered","OK"))))))))</f>
        <v/>
      </c>
    </row>
    <row r="40">
      <c r="A40" s="16" t="n"/>
      <c r="B40" s="17" t="n"/>
      <c r="C40" s="12" t="n"/>
      <c r="D40" s="12" t="n"/>
      <c r="E40" s="18" t="n"/>
      <c r="F40" s="18" t="n"/>
      <c r="G40" s="13" t="n"/>
      <c r="H40" s="13" t="n"/>
      <c r="I40" s="13" t="n"/>
      <c r="J40" s="13" t="n"/>
      <c r="K40" s="19">
        <f>IF(AND(A40="",C40="",D40=""),"",IF(A40="","Missing the date in column A",IF(OR(C40="",D40=""),IF(I40="Bracket","OK - bracket TBD","Missing a team"),IF(C40=D40,"Same team twice",IF(AND(COUNTIF(Teams!$B$5:$B$204,C40)=0,NOT(SUMPRODUCT(--ISNUMBER(SEARCH(","&amp;C40&amp;",",","&amp;SUBSTITUTE(SUBSTITUTE(Teams!$E$5:$E$204,", ",",")," ,",",")&amp;",")))&gt;0)),"Away team not on Teams tab",IF(AND(COUNTIF(Teams!$B$5:$B$204,D40)=0,NOT(SUMPRODUCT(--ISNUMBER(SEARCH(","&amp;D40&amp;",",","&amp;SUBSTITUTE(SUBSTITUTE(Teams!$E$5:$E$204,", ",",")," ,",",")&amp;",")))&gt;0)),"Home team not on Teams tab",IF(AND(E40&lt;&gt;"",F40=""),"Only one score entered",IF(AND(F40&lt;&gt;"",E40=""),"Only one score entered","OK"))))))))</f>
        <v/>
      </c>
    </row>
    <row r="41">
      <c r="A41" s="16" t="n"/>
      <c r="B41" s="17" t="n"/>
      <c r="C41" s="12" t="n"/>
      <c r="D41" s="12" t="n"/>
      <c r="E41" s="18" t="n"/>
      <c r="F41" s="18" t="n"/>
      <c r="G41" s="13" t="n"/>
      <c r="H41" s="13" t="n"/>
      <c r="I41" s="13" t="n"/>
      <c r="J41" s="13" t="n"/>
      <c r="K41" s="19">
        <f>IF(AND(A41="",C41="",D41=""),"",IF(A41="","Missing the date in column A",IF(OR(C41="",D41=""),IF(I41="Bracket","OK - bracket TBD","Missing a team"),IF(C41=D41,"Same team twice",IF(AND(COUNTIF(Teams!$B$5:$B$204,C41)=0,NOT(SUMPRODUCT(--ISNUMBER(SEARCH(","&amp;C41&amp;",",","&amp;SUBSTITUTE(SUBSTITUTE(Teams!$E$5:$E$204,", ",",")," ,",",")&amp;",")))&gt;0)),"Away team not on Teams tab",IF(AND(COUNTIF(Teams!$B$5:$B$204,D41)=0,NOT(SUMPRODUCT(--ISNUMBER(SEARCH(","&amp;D41&amp;",",","&amp;SUBSTITUTE(SUBSTITUTE(Teams!$E$5:$E$204,", ",",")," ,",",")&amp;",")))&gt;0)),"Home team not on Teams tab",IF(AND(E41&lt;&gt;"",F41=""),"Only one score entered",IF(AND(F41&lt;&gt;"",E41=""),"Only one score entered","OK"))))))))</f>
        <v/>
      </c>
    </row>
    <row r="42">
      <c r="A42" s="16" t="n"/>
      <c r="B42" s="17" t="n"/>
      <c r="C42" s="12" t="n"/>
      <c r="D42" s="12" t="n"/>
      <c r="E42" s="18" t="n"/>
      <c r="F42" s="18" t="n"/>
      <c r="G42" s="13" t="n"/>
      <c r="H42" s="13" t="n"/>
      <c r="I42" s="13" t="n"/>
      <c r="J42" s="13" t="n"/>
      <c r="K42" s="19">
        <f>IF(AND(A42="",C42="",D42=""),"",IF(A42="","Missing the date in column A",IF(OR(C42="",D42=""),IF(I42="Bracket","OK - bracket TBD","Missing a team"),IF(C42=D42,"Same team twice",IF(AND(COUNTIF(Teams!$B$5:$B$204,C42)=0,NOT(SUMPRODUCT(--ISNUMBER(SEARCH(","&amp;C42&amp;",",","&amp;SUBSTITUTE(SUBSTITUTE(Teams!$E$5:$E$204,", ",",")," ,",",")&amp;",")))&gt;0)),"Away team not on Teams tab",IF(AND(COUNTIF(Teams!$B$5:$B$204,D42)=0,NOT(SUMPRODUCT(--ISNUMBER(SEARCH(","&amp;D42&amp;",",","&amp;SUBSTITUTE(SUBSTITUTE(Teams!$E$5:$E$204,", ",",")," ,",",")&amp;",")))&gt;0)),"Home team not on Teams tab",IF(AND(E42&lt;&gt;"",F42=""),"Only one score entered",IF(AND(F42&lt;&gt;"",E42=""),"Only one score entered","OK"))))))))</f>
        <v/>
      </c>
    </row>
    <row r="43">
      <c r="A43" s="16" t="n"/>
      <c r="B43" s="17" t="n"/>
      <c r="C43" s="12" t="n"/>
      <c r="D43" s="12" t="n"/>
      <c r="E43" s="18" t="n"/>
      <c r="F43" s="18" t="n"/>
      <c r="G43" s="13" t="n"/>
      <c r="H43" s="13" t="n"/>
      <c r="I43" s="13" t="n"/>
      <c r="J43" s="13" t="n"/>
      <c r="K43" s="19">
        <f>IF(AND(A43="",C43="",D43=""),"",IF(A43="","Missing the date in column A",IF(OR(C43="",D43=""),IF(I43="Bracket","OK - bracket TBD","Missing a team"),IF(C43=D43,"Same team twice",IF(AND(COUNTIF(Teams!$B$5:$B$204,C43)=0,NOT(SUMPRODUCT(--ISNUMBER(SEARCH(","&amp;C43&amp;",",","&amp;SUBSTITUTE(SUBSTITUTE(Teams!$E$5:$E$204,", ",",")," ,",",")&amp;",")))&gt;0)),"Away team not on Teams tab",IF(AND(COUNTIF(Teams!$B$5:$B$204,D43)=0,NOT(SUMPRODUCT(--ISNUMBER(SEARCH(","&amp;D43&amp;",",","&amp;SUBSTITUTE(SUBSTITUTE(Teams!$E$5:$E$204,", ",",")," ,",",")&amp;",")))&gt;0)),"Home team not on Teams tab",IF(AND(E43&lt;&gt;"",F43=""),"Only one score entered",IF(AND(F43&lt;&gt;"",E43=""),"Only one score entered","OK"))))))))</f>
        <v/>
      </c>
    </row>
    <row r="44">
      <c r="A44" s="16" t="n"/>
      <c r="B44" s="17" t="n"/>
      <c r="C44" s="12" t="n"/>
      <c r="D44" s="12" t="n"/>
      <c r="E44" s="18" t="n"/>
      <c r="F44" s="18" t="n"/>
      <c r="G44" s="13" t="n"/>
      <c r="H44" s="13" t="n"/>
      <c r="I44" s="13" t="n"/>
      <c r="J44" s="13" t="n"/>
      <c r="K44" s="19">
        <f>IF(AND(A44="",C44="",D44=""),"",IF(A44="","Missing the date in column A",IF(OR(C44="",D44=""),IF(I44="Bracket","OK - bracket TBD","Missing a team"),IF(C44=D44,"Same team twice",IF(AND(COUNTIF(Teams!$B$5:$B$204,C44)=0,NOT(SUMPRODUCT(--ISNUMBER(SEARCH(","&amp;C44&amp;",",","&amp;SUBSTITUTE(SUBSTITUTE(Teams!$E$5:$E$204,", ",",")," ,",",")&amp;",")))&gt;0)),"Away team not on Teams tab",IF(AND(COUNTIF(Teams!$B$5:$B$204,D44)=0,NOT(SUMPRODUCT(--ISNUMBER(SEARCH(","&amp;D44&amp;",",","&amp;SUBSTITUTE(SUBSTITUTE(Teams!$E$5:$E$204,", ",",")," ,",",")&amp;",")))&gt;0)),"Home team not on Teams tab",IF(AND(E44&lt;&gt;"",F44=""),"Only one score entered",IF(AND(F44&lt;&gt;"",E44=""),"Only one score entered","OK"))))))))</f>
        <v/>
      </c>
    </row>
    <row r="45">
      <c r="A45" s="16" t="n"/>
      <c r="B45" s="17" t="n"/>
      <c r="C45" s="12" t="n"/>
      <c r="D45" s="12" t="n"/>
      <c r="E45" s="18" t="n"/>
      <c r="F45" s="18" t="n"/>
      <c r="G45" s="13" t="n"/>
      <c r="H45" s="13" t="n"/>
      <c r="I45" s="13" t="n"/>
      <c r="J45" s="13" t="n"/>
      <c r="K45" s="19">
        <f>IF(AND(A45="",C45="",D45=""),"",IF(A45="","Missing the date in column A",IF(OR(C45="",D45=""),IF(I45="Bracket","OK - bracket TBD","Missing a team"),IF(C45=D45,"Same team twice",IF(AND(COUNTIF(Teams!$B$5:$B$204,C45)=0,NOT(SUMPRODUCT(--ISNUMBER(SEARCH(","&amp;C45&amp;",",","&amp;SUBSTITUTE(SUBSTITUTE(Teams!$E$5:$E$204,", ",",")," ,",",")&amp;",")))&gt;0)),"Away team not on Teams tab",IF(AND(COUNTIF(Teams!$B$5:$B$204,D45)=0,NOT(SUMPRODUCT(--ISNUMBER(SEARCH(","&amp;D45&amp;",",","&amp;SUBSTITUTE(SUBSTITUTE(Teams!$E$5:$E$204,", ",",")," ,",",")&amp;",")))&gt;0)),"Home team not on Teams tab",IF(AND(E45&lt;&gt;"",F45=""),"Only one score entered",IF(AND(F45&lt;&gt;"",E45=""),"Only one score entered","OK"))))))))</f>
        <v/>
      </c>
    </row>
    <row r="46">
      <c r="A46" s="16" t="n"/>
      <c r="B46" s="17" t="n"/>
      <c r="C46" s="12" t="n"/>
      <c r="D46" s="12" t="n"/>
      <c r="E46" s="18" t="n"/>
      <c r="F46" s="18" t="n"/>
      <c r="G46" s="13" t="n"/>
      <c r="H46" s="13" t="n"/>
      <c r="I46" s="13" t="n"/>
      <c r="J46" s="13" t="n"/>
      <c r="K46" s="19">
        <f>IF(AND(A46="",C46="",D46=""),"",IF(A46="","Missing the date in column A",IF(OR(C46="",D46=""),IF(I46="Bracket","OK - bracket TBD","Missing a team"),IF(C46=D46,"Same team twice",IF(AND(COUNTIF(Teams!$B$5:$B$204,C46)=0,NOT(SUMPRODUCT(--ISNUMBER(SEARCH(","&amp;C46&amp;",",","&amp;SUBSTITUTE(SUBSTITUTE(Teams!$E$5:$E$204,", ",",")," ,",",")&amp;",")))&gt;0)),"Away team not on Teams tab",IF(AND(COUNTIF(Teams!$B$5:$B$204,D46)=0,NOT(SUMPRODUCT(--ISNUMBER(SEARCH(","&amp;D46&amp;",",","&amp;SUBSTITUTE(SUBSTITUTE(Teams!$E$5:$E$204,", ",",")," ,",",")&amp;",")))&gt;0)),"Home team not on Teams tab",IF(AND(E46&lt;&gt;"",F46=""),"Only one score entered",IF(AND(F46&lt;&gt;"",E46=""),"Only one score entered","OK"))))))))</f>
        <v/>
      </c>
    </row>
    <row r="47">
      <c r="A47" s="16" t="n"/>
      <c r="B47" s="17" t="n"/>
      <c r="C47" s="12" t="n"/>
      <c r="D47" s="12" t="n"/>
      <c r="E47" s="18" t="n"/>
      <c r="F47" s="18" t="n"/>
      <c r="G47" s="13" t="n"/>
      <c r="H47" s="13" t="n"/>
      <c r="I47" s="13" t="n"/>
      <c r="J47" s="13" t="n"/>
      <c r="K47" s="19">
        <f>IF(AND(A47="",C47="",D47=""),"",IF(A47="","Missing the date in column A",IF(OR(C47="",D47=""),IF(I47="Bracket","OK - bracket TBD","Missing a team"),IF(C47=D47,"Same team twice",IF(AND(COUNTIF(Teams!$B$5:$B$204,C47)=0,NOT(SUMPRODUCT(--ISNUMBER(SEARCH(","&amp;C47&amp;",",","&amp;SUBSTITUTE(SUBSTITUTE(Teams!$E$5:$E$204,", ",",")," ,",",")&amp;",")))&gt;0)),"Away team not on Teams tab",IF(AND(COUNTIF(Teams!$B$5:$B$204,D47)=0,NOT(SUMPRODUCT(--ISNUMBER(SEARCH(","&amp;D47&amp;",",","&amp;SUBSTITUTE(SUBSTITUTE(Teams!$E$5:$E$204,", ",",")," ,",",")&amp;",")))&gt;0)),"Home team not on Teams tab",IF(AND(E47&lt;&gt;"",F47=""),"Only one score entered",IF(AND(F47&lt;&gt;"",E47=""),"Only one score entered","OK"))))))))</f>
        <v/>
      </c>
    </row>
    <row r="48">
      <c r="A48" s="16" t="n"/>
      <c r="B48" s="17" t="n"/>
      <c r="C48" s="12" t="n"/>
      <c r="D48" s="12" t="n"/>
      <c r="E48" s="18" t="n"/>
      <c r="F48" s="18" t="n"/>
      <c r="G48" s="13" t="n"/>
      <c r="H48" s="13" t="n"/>
      <c r="I48" s="13" t="n"/>
      <c r="J48" s="13" t="n"/>
      <c r="K48" s="19">
        <f>IF(AND(A48="",C48="",D48=""),"",IF(A48="","Missing the date in column A",IF(OR(C48="",D48=""),IF(I48="Bracket","OK - bracket TBD","Missing a team"),IF(C48=D48,"Same team twice",IF(AND(COUNTIF(Teams!$B$5:$B$204,C48)=0,NOT(SUMPRODUCT(--ISNUMBER(SEARCH(","&amp;C48&amp;",",","&amp;SUBSTITUTE(SUBSTITUTE(Teams!$E$5:$E$204,", ",",")," ,",",")&amp;",")))&gt;0)),"Away team not on Teams tab",IF(AND(COUNTIF(Teams!$B$5:$B$204,D48)=0,NOT(SUMPRODUCT(--ISNUMBER(SEARCH(","&amp;D48&amp;",",","&amp;SUBSTITUTE(SUBSTITUTE(Teams!$E$5:$E$204,", ",",")," ,",",")&amp;",")))&gt;0)),"Home team not on Teams tab",IF(AND(E48&lt;&gt;"",F48=""),"Only one score entered",IF(AND(F48&lt;&gt;"",E48=""),"Only one score entered","OK"))))))))</f>
        <v/>
      </c>
    </row>
    <row r="49">
      <c r="A49" s="16" t="n"/>
      <c r="B49" s="17" t="n"/>
      <c r="C49" s="12" t="n"/>
      <c r="D49" s="12" t="n"/>
      <c r="E49" s="18" t="n"/>
      <c r="F49" s="18" t="n"/>
      <c r="G49" s="13" t="n"/>
      <c r="H49" s="13" t="n"/>
      <c r="I49" s="13" t="n"/>
      <c r="J49" s="13" t="n"/>
      <c r="K49" s="19">
        <f>IF(AND(A49="",C49="",D49=""),"",IF(A49="","Missing the date in column A",IF(OR(C49="",D49=""),IF(I49="Bracket","OK - bracket TBD","Missing a team"),IF(C49=D49,"Same team twice",IF(AND(COUNTIF(Teams!$B$5:$B$204,C49)=0,NOT(SUMPRODUCT(--ISNUMBER(SEARCH(","&amp;C49&amp;",",","&amp;SUBSTITUTE(SUBSTITUTE(Teams!$E$5:$E$204,", ",",")," ,",",")&amp;",")))&gt;0)),"Away team not on Teams tab",IF(AND(COUNTIF(Teams!$B$5:$B$204,D49)=0,NOT(SUMPRODUCT(--ISNUMBER(SEARCH(","&amp;D49&amp;",",","&amp;SUBSTITUTE(SUBSTITUTE(Teams!$E$5:$E$204,", ",",")," ,",",")&amp;",")))&gt;0)),"Home team not on Teams tab",IF(AND(E49&lt;&gt;"",F49=""),"Only one score entered",IF(AND(F49&lt;&gt;"",E49=""),"Only one score entered","OK"))))))))</f>
        <v/>
      </c>
    </row>
    <row r="50">
      <c r="A50" s="16" t="n"/>
      <c r="B50" s="17" t="n"/>
      <c r="C50" s="12" t="n"/>
      <c r="D50" s="12" t="n"/>
      <c r="E50" s="18" t="n"/>
      <c r="F50" s="18" t="n"/>
      <c r="G50" s="13" t="n"/>
      <c r="H50" s="13" t="n"/>
      <c r="I50" s="13" t="n"/>
      <c r="J50" s="13" t="n"/>
      <c r="K50" s="19">
        <f>IF(AND(A50="",C50="",D50=""),"",IF(A50="","Missing the date in column A",IF(OR(C50="",D50=""),IF(I50="Bracket","OK - bracket TBD","Missing a team"),IF(C50=D50,"Same team twice",IF(AND(COUNTIF(Teams!$B$5:$B$204,C50)=0,NOT(SUMPRODUCT(--ISNUMBER(SEARCH(","&amp;C50&amp;",",","&amp;SUBSTITUTE(SUBSTITUTE(Teams!$E$5:$E$204,", ",",")," ,",",")&amp;",")))&gt;0)),"Away team not on Teams tab",IF(AND(COUNTIF(Teams!$B$5:$B$204,D50)=0,NOT(SUMPRODUCT(--ISNUMBER(SEARCH(","&amp;D50&amp;",",","&amp;SUBSTITUTE(SUBSTITUTE(Teams!$E$5:$E$204,", ",",")," ,",",")&amp;",")))&gt;0)),"Home team not on Teams tab",IF(AND(E50&lt;&gt;"",F50=""),"Only one score entered",IF(AND(F50&lt;&gt;"",E50=""),"Only one score entered","OK"))))))))</f>
        <v/>
      </c>
    </row>
    <row r="51">
      <c r="A51" s="16" t="n"/>
      <c r="B51" s="17" t="n"/>
      <c r="C51" s="12" t="n"/>
      <c r="D51" s="12" t="n"/>
      <c r="E51" s="18" t="n"/>
      <c r="F51" s="18" t="n"/>
      <c r="G51" s="13" t="n"/>
      <c r="H51" s="13" t="n"/>
      <c r="I51" s="13" t="n"/>
      <c r="J51" s="13" t="n"/>
      <c r="K51" s="19">
        <f>IF(AND(A51="",C51="",D51=""),"",IF(A51="","Missing the date in column A",IF(OR(C51="",D51=""),IF(I51="Bracket","OK - bracket TBD","Missing a team"),IF(C51=D51,"Same team twice",IF(AND(COUNTIF(Teams!$B$5:$B$204,C51)=0,NOT(SUMPRODUCT(--ISNUMBER(SEARCH(","&amp;C51&amp;",",","&amp;SUBSTITUTE(SUBSTITUTE(Teams!$E$5:$E$204,", ",",")," ,",",")&amp;",")))&gt;0)),"Away team not on Teams tab",IF(AND(COUNTIF(Teams!$B$5:$B$204,D51)=0,NOT(SUMPRODUCT(--ISNUMBER(SEARCH(","&amp;D51&amp;",",","&amp;SUBSTITUTE(SUBSTITUTE(Teams!$E$5:$E$204,", ",",")," ,",",")&amp;",")))&gt;0)),"Home team not on Teams tab",IF(AND(E51&lt;&gt;"",F51=""),"Only one score entered",IF(AND(F51&lt;&gt;"",E51=""),"Only one score entered","OK"))))))))</f>
        <v/>
      </c>
    </row>
    <row r="52">
      <c r="A52" s="16" t="n"/>
      <c r="B52" s="17" t="n"/>
      <c r="C52" s="12" t="n"/>
      <c r="D52" s="12" t="n"/>
      <c r="E52" s="18" t="n"/>
      <c r="F52" s="18" t="n"/>
      <c r="G52" s="13" t="n"/>
      <c r="H52" s="13" t="n"/>
      <c r="I52" s="13" t="n"/>
      <c r="J52" s="13" t="n"/>
      <c r="K52" s="19">
        <f>IF(AND(A52="",C52="",D52=""),"",IF(A52="","Missing the date in column A",IF(OR(C52="",D52=""),IF(I52="Bracket","OK - bracket TBD","Missing a team"),IF(C52=D52,"Same team twice",IF(AND(COUNTIF(Teams!$B$5:$B$204,C52)=0,NOT(SUMPRODUCT(--ISNUMBER(SEARCH(","&amp;C52&amp;",",","&amp;SUBSTITUTE(SUBSTITUTE(Teams!$E$5:$E$204,", ",",")," ,",",")&amp;",")))&gt;0)),"Away team not on Teams tab",IF(AND(COUNTIF(Teams!$B$5:$B$204,D52)=0,NOT(SUMPRODUCT(--ISNUMBER(SEARCH(","&amp;D52&amp;",",","&amp;SUBSTITUTE(SUBSTITUTE(Teams!$E$5:$E$204,", ",",")," ,",",")&amp;",")))&gt;0)),"Home team not on Teams tab",IF(AND(E52&lt;&gt;"",F52=""),"Only one score entered",IF(AND(F52&lt;&gt;"",E52=""),"Only one score entered","OK"))))))))</f>
        <v/>
      </c>
    </row>
    <row r="53">
      <c r="A53" s="16" t="n"/>
      <c r="B53" s="17" t="n"/>
      <c r="C53" s="12" t="n"/>
      <c r="D53" s="12" t="n"/>
      <c r="E53" s="18" t="n"/>
      <c r="F53" s="18" t="n"/>
      <c r="G53" s="13" t="n"/>
      <c r="H53" s="13" t="n"/>
      <c r="I53" s="13" t="n"/>
      <c r="J53" s="13" t="n"/>
      <c r="K53" s="19">
        <f>IF(AND(A53="",C53="",D53=""),"",IF(A53="","Missing the date in column A",IF(OR(C53="",D53=""),IF(I53="Bracket","OK - bracket TBD","Missing a team"),IF(C53=D53,"Same team twice",IF(AND(COUNTIF(Teams!$B$5:$B$204,C53)=0,NOT(SUMPRODUCT(--ISNUMBER(SEARCH(","&amp;C53&amp;",",","&amp;SUBSTITUTE(SUBSTITUTE(Teams!$E$5:$E$204,", ",",")," ,",",")&amp;",")))&gt;0)),"Away team not on Teams tab",IF(AND(COUNTIF(Teams!$B$5:$B$204,D53)=0,NOT(SUMPRODUCT(--ISNUMBER(SEARCH(","&amp;D53&amp;",",","&amp;SUBSTITUTE(SUBSTITUTE(Teams!$E$5:$E$204,", ",",")," ,",",")&amp;",")))&gt;0)),"Home team not on Teams tab",IF(AND(E53&lt;&gt;"",F53=""),"Only one score entered",IF(AND(F53&lt;&gt;"",E53=""),"Only one score entered","OK"))))))))</f>
        <v/>
      </c>
    </row>
    <row r="54">
      <c r="A54" s="16" t="n"/>
      <c r="B54" s="17" t="n"/>
      <c r="C54" s="12" t="n"/>
      <c r="D54" s="12" t="n"/>
      <c r="E54" s="18" t="n"/>
      <c r="F54" s="18" t="n"/>
      <c r="G54" s="13" t="n"/>
      <c r="H54" s="13" t="n"/>
      <c r="I54" s="13" t="n"/>
      <c r="J54" s="13" t="n"/>
      <c r="K54" s="19">
        <f>IF(AND(A54="",C54="",D54=""),"",IF(A54="","Missing the date in column A",IF(OR(C54="",D54=""),IF(I54="Bracket","OK - bracket TBD","Missing a team"),IF(C54=D54,"Same team twice",IF(AND(COUNTIF(Teams!$B$5:$B$204,C54)=0,NOT(SUMPRODUCT(--ISNUMBER(SEARCH(","&amp;C54&amp;",",","&amp;SUBSTITUTE(SUBSTITUTE(Teams!$E$5:$E$204,", ",",")," ,",",")&amp;",")))&gt;0)),"Away team not on Teams tab",IF(AND(COUNTIF(Teams!$B$5:$B$204,D54)=0,NOT(SUMPRODUCT(--ISNUMBER(SEARCH(","&amp;D54&amp;",",","&amp;SUBSTITUTE(SUBSTITUTE(Teams!$E$5:$E$204,", ",",")," ,",",")&amp;",")))&gt;0)),"Home team not on Teams tab",IF(AND(E54&lt;&gt;"",F54=""),"Only one score entered",IF(AND(F54&lt;&gt;"",E54=""),"Only one score entered","OK"))))))))</f>
        <v/>
      </c>
    </row>
    <row r="55">
      <c r="A55" s="16" t="n"/>
      <c r="B55" s="17" t="n"/>
      <c r="C55" s="12" t="n"/>
      <c r="D55" s="12" t="n"/>
      <c r="E55" s="18" t="n"/>
      <c r="F55" s="18" t="n"/>
      <c r="G55" s="13" t="n"/>
      <c r="H55" s="13" t="n"/>
      <c r="I55" s="13" t="n"/>
      <c r="J55" s="13" t="n"/>
      <c r="K55" s="19">
        <f>IF(AND(A55="",C55="",D55=""),"",IF(A55="","Missing the date in column A",IF(OR(C55="",D55=""),IF(I55="Bracket","OK - bracket TBD","Missing a team"),IF(C55=D55,"Same team twice",IF(AND(COUNTIF(Teams!$B$5:$B$204,C55)=0,NOT(SUMPRODUCT(--ISNUMBER(SEARCH(","&amp;C55&amp;",",","&amp;SUBSTITUTE(SUBSTITUTE(Teams!$E$5:$E$204,", ",",")," ,",",")&amp;",")))&gt;0)),"Away team not on Teams tab",IF(AND(COUNTIF(Teams!$B$5:$B$204,D55)=0,NOT(SUMPRODUCT(--ISNUMBER(SEARCH(","&amp;D55&amp;",",","&amp;SUBSTITUTE(SUBSTITUTE(Teams!$E$5:$E$204,", ",",")," ,",",")&amp;",")))&gt;0)),"Home team not on Teams tab",IF(AND(E55&lt;&gt;"",F55=""),"Only one score entered",IF(AND(F55&lt;&gt;"",E55=""),"Only one score entered","OK"))))))))</f>
        <v/>
      </c>
    </row>
    <row r="56">
      <c r="A56" s="16" t="n"/>
      <c r="B56" s="17" t="n"/>
      <c r="C56" s="12" t="n"/>
      <c r="D56" s="12" t="n"/>
      <c r="E56" s="18" t="n"/>
      <c r="F56" s="18" t="n"/>
      <c r="G56" s="13" t="n"/>
      <c r="H56" s="13" t="n"/>
      <c r="I56" s="13" t="n"/>
      <c r="J56" s="13" t="n"/>
      <c r="K56" s="19">
        <f>IF(AND(A56="",C56="",D56=""),"",IF(A56="","Missing the date in column A",IF(OR(C56="",D56=""),IF(I56="Bracket","OK - bracket TBD","Missing a team"),IF(C56=D56,"Same team twice",IF(AND(COUNTIF(Teams!$B$5:$B$204,C56)=0,NOT(SUMPRODUCT(--ISNUMBER(SEARCH(","&amp;C56&amp;",",","&amp;SUBSTITUTE(SUBSTITUTE(Teams!$E$5:$E$204,", ",",")," ,",",")&amp;",")))&gt;0)),"Away team not on Teams tab",IF(AND(COUNTIF(Teams!$B$5:$B$204,D56)=0,NOT(SUMPRODUCT(--ISNUMBER(SEARCH(","&amp;D56&amp;",",","&amp;SUBSTITUTE(SUBSTITUTE(Teams!$E$5:$E$204,", ",",")," ,",",")&amp;",")))&gt;0)),"Home team not on Teams tab",IF(AND(E56&lt;&gt;"",F56=""),"Only one score entered",IF(AND(F56&lt;&gt;"",E56=""),"Only one score entered","OK"))))))))</f>
        <v/>
      </c>
    </row>
    <row r="57">
      <c r="A57" s="16" t="n"/>
      <c r="B57" s="17" t="n"/>
      <c r="C57" s="12" t="n"/>
      <c r="D57" s="12" t="n"/>
      <c r="E57" s="18" t="n"/>
      <c r="F57" s="18" t="n"/>
      <c r="G57" s="13" t="n"/>
      <c r="H57" s="13" t="n"/>
      <c r="I57" s="13" t="n"/>
      <c r="J57" s="13" t="n"/>
      <c r="K57" s="19">
        <f>IF(AND(A57="",C57="",D57=""),"",IF(A57="","Missing the date in column A",IF(OR(C57="",D57=""),IF(I57="Bracket","OK - bracket TBD","Missing a team"),IF(C57=D57,"Same team twice",IF(AND(COUNTIF(Teams!$B$5:$B$204,C57)=0,NOT(SUMPRODUCT(--ISNUMBER(SEARCH(","&amp;C57&amp;",",","&amp;SUBSTITUTE(SUBSTITUTE(Teams!$E$5:$E$204,", ",",")," ,",",")&amp;",")))&gt;0)),"Away team not on Teams tab",IF(AND(COUNTIF(Teams!$B$5:$B$204,D57)=0,NOT(SUMPRODUCT(--ISNUMBER(SEARCH(","&amp;D57&amp;",",","&amp;SUBSTITUTE(SUBSTITUTE(Teams!$E$5:$E$204,", ",",")," ,",",")&amp;",")))&gt;0)),"Home team not on Teams tab",IF(AND(E57&lt;&gt;"",F57=""),"Only one score entered",IF(AND(F57&lt;&gt;"",E57=""),"Only one score entered","OK"))))))))</f>
        <v/>
      </c>
    </row>
    <row r="58">
      <c r="A58" s="16" t="n"/>
      <c r="B58" s="17" t="n"/>
      <c r="C58" s="12" t="n"/>
      <c r="D58" s="12" t="n"/>
      <c r="E58" s="18" t="n"/>
      <c r="F58" s="18" t="n"/>
      <c r="G58" s="13" t="n"/>
      <c r="H58" s="13" t="n"/>
      <c r="I58" s="13" t="n"/>
      <c r="J58" s="13" t="n"/>
      <c r="K58" s="19">
        <f>IF(AND(A58="",C58="",D58=""),"",IF(A58="","Missing the date in column A",IF(OR(C58="",D58=""),IF(I58="Bracket","OK - bracket TBD","Missing a team"),IF(C58=D58,"Same team twice",IF(AND(COUNTIF(Teams!$B$5:$B$204,C58)=0,NOT(SUMPRODUCT(--ISNUMBER(SEARCH(","&amp;C58&amp;",",","&amp;SUBSTITUTE(SUBSTITUTE(Teams!$E$5:$E$204,", ",",")," ,",",")&amp;",")))&gt;0)),"Away team not on Teams tab",IF(AND(COUNTIF(Teams!$B$5:$B$204,D58)=0,NOT(SUMPRODUCT(--ISNUMBER(SEARCH(","&amp;D58&amp;",",","&amp;SUBSTITUTE(SUBSTITUTE(Teams!$E$5:$E$204,", ",",")," ,",",")&amp;",")))&gt;0)),"Home team not on Teams tab",IF(AND(E58&lt;&gt;"",F58=""),"Only one score entered",IF(AND(F58&lt;&gt;"",E58=""),"Only one score entered","OK"))))))))</f>
        <v/>
      </c>
    </row>
    <row r="59">
      <c r="A59" s="16" t="n"/>
      <c r="B59" s="17" t="n"/>
      <c r="C59" s="12" t="n"/>
      <c r="D59" s="12" t="n"/>
      <c r="E59" s="18" t="n"/>
      <c r="F59" s="18" t="n"/>
      <c r="G59" s="13" t="n"/>
      <c r="H59" s="13" t="n"/>
      <c r="I59" s="13" t="n"/>
      <c r="J59" s="13" t="n"/>
      <c r="K59" s="19">
        <f>IF(AND(A59="",C59="",D59=""),"",IF(A59="","Missing the date in column A",IF(OR(C59="",D59=""),IF(I59="Bracket","OK - bracket TBD","Missing a team"),IF(C59=D59,"Same team twice",IF(AND(COUNTIF(Teams!$B$5:$B$204,C59)=0,NOT(SUMPRODUCT(--ISNUMBER(SEARCH(","&amp;C59&amp;",",","&amp;SUBSTITUTE(SUBSTITUTE(Teams!$E$5:$E$204,", ",",")," ,",",")&amp;",")))&gt;0)),"Away team not on Teams tab",IF(AND(COUNTIF(Teams!$B$5:$B$204,D59)=0,NOT(SUMPRODUCT(--ISNUMBER(SEARCH(","&amp;D59&amp;",",","&amp;SUBSTITUTE(SUBSTITUTE(Teams!$E$5:$E$204,", ",",")," ,",",")&amp;",")))&gt;0)),"Home team not on Teams tab",IF(AND(E59&lt;&gt;"",F59=""),"Only one score entered",IF(AND(F59&lt;&gt;"",E59=""),"Only one score entered","OK"))))))))</f>
        <v/>
      </c>
    </row>
    <row r="60">
      <c r="A60" s="16" t="n"/>
      <c r="B60" s="17" t="n"/>
      <c r="C60" s="12" t="n"/>
      <c r="D60" s="12" t="n"/>
      <c r="E60" s="18" t="n"/>
      <c r="F60" s="18" t="n"/>
      <c r="G60" s="13" t="n"/>
      <c r="H60" s="13" t="n"/>
      <c r="I60" s="13" t="n"/>
      <c r="J60" s="13" t="n"/>
      <c r="K60" s="19">
        <f>IF(AND(A60="",C60="",D60=""),"",IF(A60="","Missing the date in column A",IF(OR(C60="",D60=""),IF(I60="Bracket","OK - bracket TBD","Missing a team"),IF(C60=D60,"Same team twice",IF(AND(COUNTIF(Teams!$B$5:$B$204,C60)=0,NOT(SUMPRODUCT(--ISNUMBER(SEARCH(","&amp;C60&amp;",",","&amp;SUBSTITUTE(SUBSTITUTE(Teams!$E$5:$E$204,", ",",")," ,",",")&amp;",")))&gt;0)),"Away team not on Teams tab",IF(AND(COUNTIF(Teams!$B$5:$B$204,D60)=0,NOT(SUMPRODUCT(--ISNUMBER(SEARCH(","&amp;D60&amp;",",","&amp;SUBSTITUTE(SUBSTITUTE(Teams!$E$5:$E$204,", ",",")," ,",",")&amp;",")))&gt;0)),"Home team not on Teams tab",IF(AND(E60&lt;&gt;"",F60=""),"Only one score entered",IF(AND(F60&lt;&gt;"",E60=""),"Only one score entered","OK"))))))))</f>
        <v/>
      </c>
    </row>
    <row r="61">
      <c r="A61" s="16" t="n"/>
      <c r="B61" s="17" t="n"/>
      <c r="C61" s="12" t="n"/>
      <c r="D61" s="12" t="n"/>
      <c r="E61" s="18" t="n"/>
      <c r="F61" s="18" t="n"/>
      <c r="G61" s="13" t="n"/>
      <c r="H61" s="13" t="n"/>
      <c r="I61" s="13" t="n"/>
      <c r="J61" s="13" t="n"/>
      <c r="K61" s="19">
        <f>IF(AND(A61="",C61="",D61=""),"",IF(A61="","Missing the date in column A",IF(OR(C61="",D61=""),IF(I61="Bracket","OK - bracket TBD","Missing a team"),IF(C61=D61,"Same team twice",IF(AND(COUNTIF(Teams!$B$5:$B$204,C61)=0,NOT(SUMPRODUCT(--ISNUMBER(SEARCH(","&amp;C61&amp;",",","&amp;SUBSTITUTE(SUBSTITUTE(Teams!$E$5:$E$204,", ",",")," ,",",")&amp;",")))&gt;0)),"Away team not on Teams tab",IF(AND(COUNTIF(Teams!$B$5:$B$204,D61)=0,NOT(SUMPRODUCT(--ISNUMBER(SEARCH(","&amp;D61&amp;",",","&amp;SUBSTITUTE(SUBSTITUTE(Teams!$E$5:$E$204,", ",",")," ,",",")&amp;",")))&gt;0)),"Home team not on Teams tab",IF(AND(E61&lt;&gt;"",F61=""),"Only one score entered",IF(AND(F61&lt;&gt;"",E61=""),"Only one score entered","OK"))))))))</f>
        <v/>
      </c>
    </row>
    <row r="62">
      <c r="A62" s="16" t="n"/>
      <c r="B62" s="17" t="n"/>
      <c r="C62" s="12" t="n"/>
      <c r="D62" s="12" t="n"/>
      <c r="E62" s="18" t="n"/>
      <c r="F62" s="18" t="n"/>
      <c r="G62" s="13" t="n"/>
      <c r="H62" s="13" t="n"/>
      <c r="I62" s="13" t="n"/>
      <c r="J62" s="13" t="n"/>
      <c r="K62" s="19">
        <f>IF(AND(A62="",C62="",D62=""),"",IF(A62="","Missing the date in column A",IF(OR(C62="",D62=""),IF(I62="Bracket","OK - bracket TBD","Missing a team"),IF(C62=D62,"Same team twice",IF(AND(COUNTIF(Teams!$B$5:$B$204,C62)=0,NOT(SUMPRODUCT(--ISNUMBER(SEARCH(","&amp;C62&amp;",",","&amp;SUBSTITUTE(SUBSTITUTE(Teams!$E$5:$E$204,", ",",")," ,",",")&amp;",")))&gt;0)),"Away team not on Teams tab",IF(AND(COUNTIF(Teams!$B$5:$B$204,D62)=0,NOT(SUMPRODUCT(--ISNUMBER(SEARCH(","&amp;D62&amp;",",","&amp;SUBSTITUTE(SUBSTITUTE(Teams!$E$5:$E$204,", ",",")," ,",",")&amp;",")))&gt;0)),"Home team not on Teams tab",IF(AND(E62&lt;&gt;"",F62=""),"Only one score entered",IF(AND(F62&lt;&gt;"",E62=""),"Only one score entered","OK"))))))))</f>
        <v/>
      </c>
    </row>
    <row r="63">
      <c r="A63" s="16" t="n"/>
      <c r="B63" s="17" t="n"/>
      <c r="C63" s="12" t="n"/>
      <c r="D63" s="12" t="n"/>
      <c r="E63" s="18" t="n"/>
      <c r="F63" s="18" t="n"/>
      <c r="G63" s="13" t="n"/>
      <c r="H63" s="13" t="n"/>
      <c r="I63" s="13" t="n"/>
      <c r="J63" s="13" t="n"/>
      <c r="K63" s="19">
        <f>IF(AND(A63="",C63="",D63=""),"",IF(A63="","Missing the date in column A",IF(OR(C63="",D63=""),IF(I63="Bracket","OK - bracket TBD","Missing a team"),IF(C63=D63,"Same team twice",IF(AND(COUNTIF(Teams!$B$5:$B$204,C63)=0,NOT(SUMPRODUCT(--ISNUMBER(SEARCH(","&amp;C63&amp;",",","&amp;SUBSTITUTE(SUBSTITUTE(Teams!$E$5:$E$204,", ",",")," ,",",")&amp;",")))&gt;0)),"Away team not on Teams tab",IF(AND(COUNTIF(Teams!$B$5:$B$204,D63)=0,NOT(SUMPRODUCT(--ISNUMBER(SEARCH(","&amp;D63&amp;",",","&amp;SUBSTITUTE(SUBSTITUTE(Teams!$E$5:$E$204,", ",",")," ,",",")&amp;",")))&gt;0)),"Home team not on Teams tab",IF(AND(E63&lt;&gt;"",F63=""),"Only one score entered",IF(AND(F63&lt;&gt;"",E63=""),"Only one score entered","OK"))))))))</f>
        <v/>
      </c>
    </row>
    <row r="64">
      <c r="A64" s="16" t="n"/>
      <c r="B64" s="17" t="n"/>
      <c r="C64" s="12" t="n"/>
      <c r="D64" s="12" t="n"/>
      <c r="E64" s="18" t="n"/>
      <c r="F64" s="18" t="n"/>
      <c r="G64" s="13" t="n"/>
      <c r="H64" s="13" t="n"/>
      <c r="I64" s="13" t="n"/>
      <c r="J64" s="13" t="n"/>
      <c r="K64" s="19">
        <f>IF(AND(A64="",C64="",D64=""),"",IF(A64="","Missing the date in column A",IF(OR(C64="",D64=""),IF(I64="Bracket","OK - bracket TBD","Missing a team"),IF(C64=D64,"Same team twice",IF(AND(COUNTIF(Teams!$B$5:$B$204,C64)=0,NOT(SUMPRODUCT(--ISNUMBER(SEARCH(","&amp;C64&amp;",",","&amp;SUBSTITUTE(SUBSTITUTE(Teams!$E$5:$E$204,", ",",")," ,",",")&amp;",")))&gt;0)),"Away team not on Teams tab",IF(AND(COUNTIF(Teams!$B$5:$B$204,D64)=0,NOT(SUMPRODUCT(--ISNUMBER(SEARCH(","&amp;D64&amp;",",","&amp;SUBSTITUTE(SUBSTITUTE(Teams!$E$5:$E$204,", ",",")," ,",",")&amp;",")))&gt;0)),"Home team not on Teams tab",IF(AND(E64&lt;&gt;"",F64=""),"Only one score entered",IF(AND(F64&lt;&gt;"",E64=""),"Only one score entered","OK"))))))))</f>
        <v/>
      </c>
    </row>
    <row r="65">
      <c r="A65" s="16" t="n"/>
      <c r="B65" s="17" t="n"/>
      <c r="C65" s="12" t="n"/>
      <c r="D65" s="12" t="n"/>
      <c r="E65" s="18" t="n"/>
      <c r="F65" s="18" t="n"/>
      <c r="G65" s="13" t="n"/>
      <c r="H65" s="13" t="n"/>
      <c r="I65" s="13" t="n"/>
      <c r="J65" s="13" t="n"/>
      <c r="K65" s="19">
        <f>IF(AND(A65="",C65="",D65=""),"",IF(A65="","Missing the date in column A",IF(OR(C65="",D65=""),IF(I65="Bracket","OK - bracket TBD","Missing a team"),IF(C65=D65,"Same team twice",IF(AND(COUNTIF(Teams!$B$5:$B$204,C65)=0,NOT(SUMPRODUCT(--ISNUMBER(SEARCH(","&amp;C65&amp;",",","&amp;SUBSTITUTE(SUBSTITUTE(Teams!$E$5:$E$204,", ",",")," ,",",")&amp;",")))&gt;0)),"Away team not on Teams tab",IF(AND(COUNTIF(Teams!$B$5:$B$204,D65)=0,NOT(SUMPRODUCT(--ISNUMBER(SEARCH(","&amp;D65&amp;",",","&amp;SUBSTITUTE(SUBSTITUTE(Teams!$E$5:$E$204,", ",",")," ,",",")&amp;",")))&gt;0)),"Home team not on Teams tab",IF(AND(E65&lt;&gt;"",F65=""),"Only one score entered",IF(AND(F65&lt;&gt;"",E65=""),"Only one score entered","OK"))))))))</f>
        <v/>
      </c>
    </row>
    <row r="66">
      <c r="A66" s="16" t="n"/>
      <c r="B66" s="17" t="n"/>
      <c r="C66" s="12" t="n"/>
      <c r="D66" s="12" t="n"/>
      <c r="E66" s="18" t="n"/>
      <c r="F66" s="18" t="n"/>
      <c r="G66" s="13" t="n"/>
      <c r="H66" s="13" t="n"/>
      <c r="I66" s="13" t="n"/>
      <c r="J66" s="13" t="n"/>
      <c r="K66" s="19">
        <f>IF(AND(A66="",C66="",D66=""),"",IF(A66="","Missing the date in column A",IF(OR(C66="",D66=""),IF(I66="Bracket","OK - bracket TBD","Missing a team"),IF(C66=D66,"Same team twice",IF(AND(COUNTIF(Teams!$B$5:$B$204,C66)=0,NOT(SUMPRODUCT(--ISNUMBER(SEARCH(","&amp;C66&amp;",",","&amp;SUBSTITUTE(SUBSTITUTE(Teams!$E$5:$E$204,", ",",")," ,",",")&amp;",")))&gt;0)),"Away team not on Teams tab",IF(AND(COUNTIF(Teams!$B$5:$B$204,D66)=0,NOT(SUMPRODUCT(--ISNUMBER(SEARCH(","&amp;D66&amp;",",","&amp;SUBSTITUTE(SUBSTITUTE(Teams!$E$5:$E$204,", ",",")," ,",",")&amp;",")))&gt;0)),"Home team not on Teams tab",IF(AND(E66&lt;&gt;"",F66=""),"Only one score entered",IF(AND(F66&lt;&gt;"",E66=""),"Only one score entered","OK"))))))))</f>
        <v/>
      </c>
    </row>
    <row r="67">
      <c r="A67" s="16" t="n"/>
      <c r="B67" s="17" t="n"/>
      <c r="C67" s="12" t="n"/>
      <c r="D67" s="12" t="n"/>
      <c r="E67" s="18" t="n"/>
      <c r="F67" s="18" t="n"/>
      <c r="G67" s="13" t="n"/>
      <c r="H67" s="13" t="n"/>
      <c r="I67" s="13" t="n"/>
      <c r="J67" s="13" t="n"/>
      <c r="K67" s="19">
        <f>IF(AND(A67="",C67="",D67=""),"",IF(A67="","Missing the date in column A",IF(OR(C67="",D67=""),IF(I67="Bracket","OK - bracket TBD","Missing a team"),IF(C67=D67,"Same team twice",IF(AND(COUNTIF(Teams!$B$5:$B$204,C67)=0,NOT(SUMPRODUCT(--ISNUMBER(SEARCH(","&amp;C67&amp;",",","&amp;SUBSTITUTE(SUBSTITUTE(Teams!$E$5:$E$204,", ",",")," ,",",")&amp;",")))&gt;0)),"Away team not on Teams tab",IF(AND(COUNTIF(Teams!$B$5:$B$204,D67)=0,NOT(SUMPRODUCT(--ISNUMBER(SEARCH(","&amp;D67&amp;",",","&amp;SUBSTITUTE(SUBSTITUTE(Teams!$E$5:$E$204,", ",",")," ,",",")&amp;",")))&gt;0)),"Home team not on Teams tab",IF(AND(E67&lt;&gt;"",F67=""),"Only one score entered",IF(AND(F67&lt;&gt;"",E67=""),"Only one score entered","OK"))))))))</f>
        <v/>
      </c>
    </row>
    <row r="68">
      <c r="A68" s="16" t="n"/>
      <c r="B68" s="17" t="n"/>
      <c r="C68" s="12" t="n"/>
      <c r="D68" s="12" t="n"/>
      <c r="E68" s="18" t="n"/>
      <c r="F68" s="18" t="n"/>
      <c r="G68" s="13" t="n"/>
      <c r="H68" s="13" t="n"/>
      <c r="I68" s="13" t="n"/>
      <c r="J68" s="13" t="n"/>
      <c r="K68" s="19">
        <f>IF(AND(A68="",C68="",D68=""),"",IF(A68="","Missing the date in column A",IF(OR(C68="",D68=""),IF(I68="Bracket","OK - bracket TBD","Missing a team"),IF(C68=D68,"Same team twice",IF(AND(COUNTIF(Teams!$B$5:$B$204,C68)=0,NOT(SUMPRODUCT(--ISNUMBER(SEARCH(","&amp;C68&amp;",",","&amp;SUBSTITUTE(SUBSTITUTE(Teams!$E$5:$E$204,", ",",")," ,",",")&amp;",")))&gt;0)),"Away team not on Teams tab",IF(AND(COUNTIF(Teams!$B$5:$B$204,D68)=0,NOT(SUMPRODUCT(--ISNUMBER(SEARCH(","&amp;D68&amp;",",","&amp;SUBSTITUTE(SUBSTITUTE(Teams!$E$5:$E$204,", ",",")," ,",",")&amp;",")))&gt;0)),"Home team not on Teams tab",IF(AND(E68&lt;&gt;"",F68=""),"Only one score entered",IF(AND(F68&lt;&gt;"",E68=""),"Only one score entered","OK"))))))))</f>
        <v/>
      </c>
    </row>
    <row r="69">
      <c r="A69" s="16" t="n"/>
      <c r="B69" s="17" t="n"/>
      <c r="C69" s="12" t="n"/>
      <c r="D69" s="12" t="n"/>
      <c r="E69" s="18" t="n"/>
      <c r="F69" s="18" t="n"/>
      <c r="G69" s="13" t="n"/>
      <c r="H69" s="13" t="n"/>
      <c r="I69" s="13" t="n"/>
      <c r="J69" s="13" t="n"/>
      <c r="K69" s="19">
        <f>IF(AND(A69="",C69="",D69=""),"",IF(A69="","Missing the date in column A",IF(OR(C69="",D69=""),IF(I69="Bracket","OK - bracket TBD","Missing a team"),IF(C69=D69,"Same team twice",IF(AND(COUNTIF(Teams!$B$5:$B$204,C69)=0,NOT(SUMPRODUCT(--ISNUMBER(SEARCH(","&amp;C69&amp;",",","&amp;SUBSTITUTE(SUBSTITUTE(Teams!$E$5:$E$204,", ",",")," ,",",")&amp;",")))&gt;0)),"Away team not on Teams tab",IF(AND(COUNTIF(Teams!$B$5:$B$204,D69)=0,NOT(SUMPRODUCT(--ISNUMBER(SEARCH(","&amp;D69&amp;",",","&amp;SUBSTITUTE(SUBSTITUTE(Teams!$E$5:$E$204,", ",",")," ,",",")&amp;",")))&gt;0)),"Home team not on Teams tab",IF(AND(E69&lt;&gt;"",F69=""),"Only one score entered",IF(AND(F69&lt;&gt;"",E69=""),"Only one score entered","OK"))))))))</f>
        <v/>
      </c>
    </row>
    <row r="70">
      <c r="A70" s="16" t="n"/>
      <c r="B70" s="17" t="n"/>
      <c r="C70" s="12" t="n"/>
      <c r="D70" s="12" t="n"/>
      <c r="E70" s="18" t="n"/>
      <c r="F70" s="18" t="n"/>
      <c r="G70" s="13" t="n"/>
      <c r="H70" s="13" t="n"/>
      <c r="I70" s="13" t="n"/>
      <c r="J70" s="13" t="n"/>
      <c r="K70" s="19">
        <f>IF(AND(A70="",C70="",D70=""),"",IF(A70="","Missing the date in column A",IF(OR(C70="",D70=""),IF(I70="Bracket","OK - bracket TBD","Missing a team"),IF(C70=D70,"Same team twice",IF(AND(COUNTIF(Teams!$B$5:$B$204,C70)=0,NOT(SUMPRODUCT(--ISNUMBER(SEARCH(","&amp;C70&amp;",",","&amp;SUBSTITUTE(SUBSTITUTE(Teams!$E$5:$E$204,", ",",")," ,",",")&amp;",")))&gt;0)),"Away team not on Teams tab",IF(AND(COUNTIF(Teams!$B$5:$B$204,D70)=0,NOT(SUMPRODUCT(--ISNUMBER(SEARCH(","&amp;D70&amp;",",","&amp;SUBSTITUTE(SUBSTITUTE(Teams!$E$5:$E$204,", ",",")," ,",",")&amp;",")))&gt;0)),"Home team not on Teams tab",IF(AND(E70&lt;&gt;"",F70=""),"Only one score entered",IF(AND(F70&lt;&gt;"",E70=""),"Only one score entered","OK"))))))))</f>
        <v/>
      </c>
    </row>
    <row r="71">
      <c r="A71" s="16" t="n"/>
      <c r="B71" s="17" t="n"/>
      <c r="C71" s="12" t="n"/>
      <c r="D71" s="12" t="n"/>
      <c r="E71" s="18" t="n"/>
      <c r="F71" s="18" t="n"/>
      <c r="G71" s="13" t="n"/>
      <c r="H71" s="13" t="n"/>
      <c r="I71" s="13" t="n"/>
      <c r="J71" s="13" t="n"/>
      <c r="K71" s="19">
        <f>IF(AND(A71="",C71="",D71=""),"",IF(A71="","Missing the date in column A",IF(OR(C71="",D71=""),IF(I71="Bracket","OK - bracket TBD","Missing a team"),IF(C71=D71,"Same team twice",IF(AND(COUNTIF(Teams!$B$5:$B$204,C71)=0,NOT(SUMPRODUCT(--ISNUMBER(SEARCH(","&amp;C71&amp;",",","&amp;SUBSTITUTE(SUBSTITUTE(Teams!$E$5:$E$204,", ",",")," ,",",")&amp;",")))&gt;0)),"Away team not on Teams tab",IF(AND(COUNTIF(Teams!$B$5:$B$204,D71)=0,NOT(SUMPRODUCT(--ISNUMBER(SEARCH(","&amp;D71&amp;",",","&amp;SUBSTITUTE(SUBSTITUTE(Teams!$E$5:$E$204,", ",",")," ,",",")&amp;",")))&gt;0)),"Home team not on Teams tab",IF(AND(E71&lt;&gt;"",F71=""),"Only one score entered",IF(AND(F71&lt;&gt;"",E71=""),"Only one score entered","OK"))))))))</f>
        <v/>
      </c>
    </row>
    <row r="72">
      <c r="A72" s="16" t="n"/>
      <c r="B72" s="17" t="n"/>
      <c r="C72" s="12" t="n"/>
      <c r="D72" s="12" t="n"/>
      <c r="E72" s="18" t="n"/>
      <c r="F72" s="18" t="n"/>
      <c r="G72" s="13" t="n"/>
      <c r="H72" s="13" t="n"/>
      <c r="I72" s="13" t="n"/>
      <c r="J72" s="13" t="n"/>
      <c r="K72" s="19">
        <f>IF(AND(A72="",C72="",D72=""),"",IF(A72="","Missing the date in column A",IF(OR(C72="",D72=""),IF(I72="Bracket","OK - bracket TBD","Missing a team"),IF(C72=D72,"Same team twice",IF(AND(COUNTIF(Teams!$B$5:$B$204,C72)=0,NOT(SUMPRODUCT(--ISNUMBER(SEARCH(","&amp;C72&amp;",",","&amp;SUBSTITUTE(SUBSTITUTE(Teams!$E$5:$E$204,", ",",")," ,",",")&amp;",")))&gt;0)),"Away team not on Teams tab",IF(AND(COUNTIF(Teams!$B$5:$B$204,D72)=0,NOT(SUMPRODUCT(--ISNUMBER(SEARCH(","&amp;D72&amp;",",","&amp;SUBSTITUTE(SUBSTITUTE(Teams!$E$5:$E$204,", ",",")," ,",",")&amp;",")))&gt;0)),"Home team not on Teams tab",IF(AND(E72&lt;&gt;"",F72=""),"Only one score entered",IF(AND(F72&lt;&gt;"",E72=""),"Only one score entered","OK"))))))))</f>
        <v/>
      </c>
    </row>
    <row r="73">
      <c r="A73" s="16" t="n"/>
      <c r="B73" s="17" t="n"/>
      <c r="C73" s="12" t="n"/>
      <c r="D73" s="12" t="n"/>
      <c r="E73" s="18" t="n"/>
      <c r="F73" s="18" t="n"/>
      <c r="G73" s="13" t="n"/>
      <c r="H73" s="13" t="n"/>
      <c r="I73" s="13" t="n"/>
      <c r="J73" s="13" t="n"/>
      <c r="K73" s="19">
        <f>IF(AND(A73="",C73="",D73=""),"",IF(A73="","Missing the date in column A",IF(OR(C73="",D73=""),IF(I73="Bracket","OK - bracket TBD","Missing a team"),IF(C73=D73,"Same team twice",IF(AND(COUNTIF(Teams!$B$5:$B$204,C73)=0,NOT(SUMPRODUCT(--ISNUMBER(SEARCH(","&amp;C73&amp;",",","&amp;SUBSTITUTE(SUBSTITUTE(Teams!$E$5:$E$204,", ",",")," ,",",")&amp;",")))&gt;0)),"Away team not on Teams tab",IF(AND(COUNTIF(Teams!$B$5:$B$204,D73)=0,NOT(SUMPRODUCT(--ISNUMBER(SEARCH(","&amp;D73&amp;",",","&amp;SUBSTITUTE(SUBSTITUTE(Teams!$E$5:$E$204,", ",",")," ,",",")&amp;",")))&gt;0)),"Home team not on Teams tab",IF(AND(E73&lt;&gt;"",F73=""),"Only one score entered",IF(AND(F73&lt;&gt;"",E73=""),"Only one score entered","OK"))))))))</f>
        <v/>
      </c>
    </row>
    <row r="74">
      <c r="A74" s="16" t="n"/>
      <c r="B74" s="17" t="n"/>
      <c r="C74" s="12" t="n"/>
      <c r="D74" s="12" t="n"/>
      <c r="E74" s="18" t="n"/>
      <c r="F74" s="18" t="n"/>
      <c r="G74" s="13" t="n"/>
      <c r="H74" s="13" t="n"/>
      <c r="I74" s="13" t="n"/>
      <c r="J74" s="13" t="n"/>
      <c r="K74" s="19">
        <f>IF(AND(A74="",C74="",D74=""),"",IF(A74="","Missing the date in column A",IF(OR(C74="",D74=""),IF(I74="Bracket","OK - bracket TBD","Missing a team"),IF(C74=D74,"Same team twice",IF(AND(COUNTIF(Teams!$B$5:$B$204,C74)=0,NOT(SUMPRODUCT(--ISNUMBER(SEARCH(","&amp;C74&amp;",",","&amp;SUBSTITUTE(SUBSTITUTE(Teams!$E$5:$E$204,", ",",")," ,",",")&amp;",")))&gt;0)),"Away team not on Teams tab",IF(AND(COUNTIF(Teams!$B$5:$B$204,D74)=0,NOT(SUMPRODUCT(--ISNUMBER(SEARCH(","&amp;D74&amp;",",","&amp;SUBSTITUTE(SUBSTITUTE(Teams!$E$5:$E$204,", ",",")," ,",",")&amp;",")))&gt;0)),"Home team not on Teams tab",IF(AND(E74&lt;&gt;"",F74=""),"Only one score entered",IF(AND(F74&lt;&gt;"",E74=""),"Only one score entered","OK"))))))))</f>
        <v/>
      </c>
    </row>
    <row r="75">
      <c r="A75" s="16" t="n"/>
      <c r="B75" s="17" t="n"/>
      <c r="C75" s="12" t="n"/>
      <c r="D75" s="12" t="n"/>
      <c r="E75" s="18" t="n"/>
      <c r="F75" s="18" t="n"/>
      <c r="G75" s="13" t="n"/>
      <c r="H75" s="13" t="n"/>
      <c r="I75" s="13" t="n"/>
      <c r="J75" s="13" t="n"/>
      <c r="K75" s="19">
        <f>IF(AND(A75="",C75="",D75=""),"",IF(A75="","Missing the date in column A",IF(OR(C75="",D75=""),IF(I75="Bracket","OK - bracket TBD","Missing a team"),IF(C75=D75,"Same team twice",IF(AND(COUNTIF(Teams!$B$5:$B$204,C75)=0,NOT(SUMPRODUCT(--ISNUMBER(SEARCH(","&amp;C75&amp;",",","&amp;SUBSTITUTE(SUBSTITUTE(Teams!$E$5:$E$204,", ",",")," ,",",")&amp;",")))&gt;0)),"Away team not on Teams tab",IF(AND(COUNTIF(Teams!$B$5:$B$204,D75)=0,NOT(SUMPRODUCT(--ISNUMBER(SEARCH(","&amp;D75&amp;",",","&amp;SUBSTITUTE(SUBSTITUTE(Teams!$E$5:$E$204,", ",",")," ,",",")&amp;",")))&gt;0)),"Home team not on Teams tab",IF(AND(E75&lt;&gt;"",F75=""),"Only one score entered",IF(AND(F75&lt;&gt;"",E75=""),"Only one score entered","OK"))))))))</f>
        <v/>
      </c>
    </row>
    <row r="76">
      <c r="A76" s="16" t="n"/>
      <c r="B76" s="17" t="n"/>
      <c r="C76" s="12" t="n"/>
      <c r="D76" s="12" t="n"/>
      <c r="E76" s="18" t="n"/>
      <c r="F76" s="18" t="n"/>
      <c r="G76" s="13" t="n"/>
      <c r="H76" s="13" t="n"/>
      <c r="I76" s="13" t="n"/>
      <c r="J76" s="13" t="n"/>
      <c r="K76" s="19">
        <f>IF(AND(A76="",C76="",D76=""),"",IF(A76="","Missing the date in column A",IF(OR(C76="",D76=""),IF(I76="Bracket","OK - bracket TBD","Missing a team"),IF(C76=D76,"Same team twice",IF(AND(COUNTIF(Teams!$B$5:$B$204,C76)=0,NOT(SUMPRODUCT(--ISNUMBER(SEARCH(","&amp;C76&amp;",",","&amp;SUBSTITUTE(SUBSTITUTE(Teams!$E$5:$E$204,", ",",")," ,",",")&amp;",")))&gt;0)),"Away team not on Teams tab",IF(AND(COUNTIF(Teams!$B$5:$B$204,D76)=0,NOT(SUMPRODUCT(--ISNUMBER(SEARCH(","&amp;D76&amp;",",","&amp;SUBSTITUTE(SUBSTITUTE(Teams!$E$5:$E$204,", ",",")," ,",",")&amp;",")))&gt;0)),"Home team not on Teams tab",IF(AND(E76&lt;&gt;"",F76=""),"Only one score entered",IF(AND(F76&lt;&gt;"",E76=""),"Only one score entered","OK"))))))))</f>
        <v/>
      </c>
    </row>
    <row r="77">
      <c r="A77" s="16" t="n"/>
      <c r="B77" s="17" t="n"/>
      <c r="C77" s="12" t="n"/>
      <c r="D77" s="12" t="n"/>
      <c r="E77" s="18" t="n"/>
      <c r="F77" s="18" t="n"/>
      <c r="G77" s="13" t="n"/>
      <c r="H77" s="13" t="n"/>
      <c r="I77" s="13" t="n"/>
      <c r="J77" s="13" t="n"/>
      <c r="K77" s="19">
        <f>IF(AND(A77="",C77="",D77=""),"",IF(A77="","Missing the date in column A",IF(OR(C77="",D77=""),IF(I77="Bracket","OK - bracket TBD","Missing a team"),IF(C77=D77,"Same team twice",IF(AND(COUNTIF(Teams!$B$5:$B$204,C77)=0,NOT(SUMPRODUCT(--ISNUMBER(SEARCH(","&amp;C77&amp;",",","&amp;SUBSTITUTE(SUBSTITUTE(Teams!$E$5:$E$204,", ",",")," ,",",")&amp;",")))&gt;0)),"Away team not on Teams tab",IF(AND(COUNTIF(Teams!$B$5:$B$204,D77)=0,NOT(SUMPRODUCT(--ISNUMBER(SEARCH(","&amp;D77&amp;",",","&amp;SUBSTITUTE(SUBSTITUTE(Teams!$E$5:$E$204,", ",",")," ,",",")&amp;",")))&gt;0)),"Home team not on Teams tab",IF(AND(E77&lt;&gt;"",F77=""),"Only one score entered",IF(AND(F77&lt;&gt;"",E77=""),"Only one score entered","OK"))))))))</f>
        <v/>
      </c>
    </row>
    <row r="78">
      <c r="A78" s="16" t="n"/>
      <c r="B78" s="17" t="n"/>
      <c r="C78" s="12" t="n"/>
      <c r="D78" s="12" t="n"/>
      <c r="E78" s="18" t="n"/>
      <c r="F78" s="18" t="n"/>
      <c r="G78" s="13" t="n"/>
      <c r="H78" s="13" t="n"/>
      <c r="I78" s="13" t="n"/>
      <c r="J78" s="13" t="n"/>
      <c r="K78" s="19">
        <f>IF(AND(A78="",C78="",D78=""),"",IF(A78="","Missing the date in column A",IF(OR(C78="",D78=""),IF(I78="Bracket","OK - bracket TBD","Missing a team"),IF(C78=D78,"Same team twice",IF(AND(COUNTIF(Teams!$B$5:$B$204,C78)=0,NOT(SUMPRODUCT(--ISNUMBER(SEARCH(","&amp;C78&amp;",",","&amp;SUBSTITUTE(SUBSTITUTE(Teams!$E$5:$E$204,", ",",")," ,",",")&amp;",")))&gt;0)),"Away team not on Teams tab",IF(AND(COUNTIF(Teams!$B$5:$B$204,D78)=0,NOT(SUMPRODUCT(--ISNUMBER(SEARCH(","&amp;D78&amp;",",","&amp;SUBSTITUTE(SUBSTITUTE(Teams!$E$5:$E$204,", ",",")," ,",",")&amp;",")))&gt;0)),"Home team not on Teams tab",IF(AND(E78&lt;&gt;"",F78=""),"Only one score entered",IF(AND(F78&lt;&gt;"",E78=""),"Only one score entered","OK"))))))))</f>
        <v/>
      </c>
    </row>
    <row r="79">
      <c r="A79" s="16" t="n"/>
      <c r="B79" s="17" t="n"/>
      <c r="C79" s="12" t="n"/>
      <c r="D79" s="12" t="n"/>
      <c r="E79" s="18" t="n"/>
      <c r="F79" s="18" t="n"/>
      <c r="G79" s="13" t="n"/>
      <c r="H79" s="13" t="n"/>
      <c r="I79" s="13" t="n"/>
      <c r="J79" s="13" t="n"/>
      <c r="K79" s="19">
        <f>IF(AND(A79="",C79="",D79=""),"",IF(A79="","Missing the date in column A",IF(OR(C79="",D79=""),IF(I79="Bracket","OK - bracket TBD","Missing a team"),IF(C79=D79,"Same team twice",IF(AND(COUNTIF(Teams!$B$5:$B$204,C79)=0,NOT(SUMPRODUCT(--ISNUMBER(SEARCH(","&amp;C79&amp;",",","&amp;SUBSTITUTE(SUBSTITUTE(Teams!$E$5:$E$204,", ",",")," ,",",")&amp;",")))&gt;0)),"Away team not on Teams tab",IF(AND(COUNTIF(Teams!$B$5:$B$204,D79)=0,NOT(SUMPRODUCT(--ISNUMBER(SEARCH(","&amp;D79&amp;",",","&amp;SUBSTITUTE(SUBSTITUTE(Teams!$E$5:$E$204,", ",",")," ,",",")&amp;",")))&gt;0)),"Home team not on Teams tab",IF(AND(E79&lt;&gt;"",F79=""),"Only one score entered",IF(AND(F79&lt;&gt;"",E79=""),"Only one score entered","OK"))))))))</f>
        <v/>
      </c>
    </row>
    <row r="80">
      <c r="A80" s="16" t="n"/>
      <c r="B80" s="17" t="n"/>
      <c r="C80" s="12" t="n"/>
      <c r="D80" s="12" t="n"/>
      <c r="E80" s="18" t="n"/>
      <c r="F80" s="18" t="n"/>
      <c r="G80" s="13" t="n"/>
      <c r="H80" s="13" t="n"/>
      <c r="I80" s="13" t="n"/>
      <c r="J80" s="13" t="n"/>
      <c r="K80" s="19">
        <f>IF(AND(A80="",C80="",D80=""),"",IF(A80="","Missing the date in column A",IF(OR(C80="",D80=""),IF(I80="Bracket","OK - bracket TBD","Missing a team"),IF(C80=D80,"Same team twice",IF(AND(COUNTIF(Teams!$B$5:$B$204,C80)=0,NOT(SUMPRODUCT(--ISNUMBER(SEARCH(","&amp;C80&amp;",",","&amp;SUBSTITUTE(SUBSTITUTE(Teams!$E$5:$E$204,", ",",")," ,",",")&amp;",")))&gt;0)),"Away team not on Teams tab",IF(AND(COUNTIF(Teams!$B$5:$B$204,D80)=0,NOT(SUMPRODUCT(--ISNUMBER(SEARCH(","&amp;D80&amp;",",","&amp;SUBSTITUTE(SUBSTITUTE(Teams!$E$5:$E$204,", ",",")," ,",",")&amp;",")))&gt;0)),"Home team not on Teams tab",IF(AND(E80&lt;&gt;"",F80=""),"Only one score entered",IF(AND(F80&lt;&gt;"",E80=""),"Only one score entered","OK"))))))))</f>
        <v/>
      </c>
    </row>
    <row r="81">
      <c r="A81" s="16" t="n"/>
      <c r="B81" s="17" t="n"/>
      <c r="C81" s="12" t="n"/>
      <c r="D81" s="12" t="n"/>
      <c r="E81" s="18" t="n"/>
      <c r="F81" s="18" t="n"/>
      <c r="G81" s="13" t="n"/>
      <c r="H81" s="13" t="n"/>
      <c r="I81" s="13" t="n"/>
      <c r="J81" s="13" t="n"/>
      <c r="K81" s="19">
        <f>IF(AND(A81="",C81="",D81=""),"",IF(A81="","Missing the date in column A",IF(OR(C81="",D81=""),IF(I81="Bracket","OK - bracket TBD","Missing a team"),IF(C81=D81,"Same team twice",IF(AND(COUNTIF(Teams!$B$5:$B$204,C81)=0,NOT(SUMPRODUCT(--ISNUMBER(SEARCH(","&amp;C81&amp;",",","&amp;SUBSTITUTE(SUBSTITUTE(Teams!$E$5:$E$204,", ",",")," ,",",")&amp;",")))&gt;0)),"Away team not on Teams tab",IF(AND(COUNTIF(Teams!$B$5:$B$204,D81)=0,NOT(SUMPRODUCT(--ISNUMBER(SEARCH(","&amp;D81&amp;",",","&amp;SUBSTITUTE(SUBSTITUTE(Teams!$E$5:$E$204,", ",",")," ,",",")&amp;",")))&gt;0)),"Home team not on Teams tab",IF(AND(E81&lt;&gt;"",F81=""),"Only one score entered",IF(AND(F81&lt;&gt;"",E81=""),"Only one score entered","OK"))))))))</f>
        <v/>
      </c>
    </row>
    <row r="82">
      <c r="A82" s="16" t="n"/>
      <c r="B82" s="17" t="n"/>
      <c r="C82" s="12" t="n"/>
      <c r="D82" s="12" t="n"/>
      <c r="E82" s="18" t="n"/>
      <c r="F82" s="18" t="n"/>
      <c r="G82" s="13" t="n"/>
      <c r="H82" s="13" t="n"/>
      <c r="I82" s="13" t="n"/>
      <c r="J82" s="13" t="n"/>
      <c r="K82" s="19">
        <f>IF(AND(A82="",C82="",D82=""),"",IF(A82="","Missing the date in column A",IF(OR(C82="",D82=""),IF(I82="Bracket","OK - bracket TBD","Missing a team"),IF(C82=D82,"Same team twice",IF(AND(COUNTIF(Teams!$B$5:$B$204,C82)=0,NOT(SUMPRODUCT(--ISNUMBER(SEARCH(","&amp;C82&amp;",",","&amp;SUBSTITUTE(SUBSTITUTE(Teams!$E$5:$E$204,", ",",")," ,",",")&amp;",")))&gt;0)),"Away team not on Teams tab",IF(AND(COUNTIF(Teams!$B$5:$B$204,D82)=0,NOT(SUMPRODUCT(--ISNUMBER(SEARCH(","&amp;D82&amp;",",","&amp;SUBSTITUTE(SUBSTITUTE(Teams!$E$5:$E$204,", ",",")," ,",",")&amp;",")))&gt;0)),"Home team not on Teams tab",IF(AND(E82&lt;&gt;"",F82=""),"Only one score entered",IF(AND(F82&lt;&gt;"",E82=""),"Only one score entered","OK"))))))))</f>
        <v/>
      </c>
    </row>
    <row r="83">
      <c r="A83" s="16" t="n"/>
      <c r="B83" s="17" t="n"/>
      <c r="C83" s="12" t="n"/>
      <c r="D83" s="12" t="n"/>
      <c r="E83" s="18" t="n"/>
      <c r="F83" s="18" t="n"/>
      <c r="G83" s="13" t="n"/>
      <c r="H83" s="13" t="n"/>
      <c r="I83" s="13" t="n"/>
      <c r="J83" s="13" t="n"/>
      <c r="K83" s="19">
        <f>IF(AND(A83="",C83="",D83=""),"",IF(A83="","Missing the date in column A",IF(OR(C83="",D83=""),IF(I83="Bracket","OK - bracket TBD","Missing a team"),IF(C83=D83,"Same team twice",IF(AND(COUNTIF(Teams!$B$5:$B$204,C83)=0,NOT(SUMPRODUCT(--ISNUMBER(SEARCH(","&amp;C83&amp;",",","&amp;SUBSTITUTE(SUBSTITUTE(Teams!$E$5:$E$204,", ",",")," ,",",")&amp;",")))&gt;0)),"Away team not on Teams tab",IF(AND(COUNTIF(Teams!$B$5:$B$204,D83)=0,NOT(SUMPRODUCT(--ISNUMBER(SEARCH(","&amp;D83&amp;",",","&amp;SUBSTITUTE(SUBSTITUTE(Teams!$E$5:$E$204,", ",",")," ,",",")&amp;",")))&gt;0)),"Home team not on Teams tab",IF(AND(E83&lt;&gt;"",F83=""),"Only one score entered",IF(AND(F83&lt;&gt;"",E83=""),"Only one score entered","OK"))))))))</f>
        <v/>
      </c>
    </row>
    <row r="84">
      <c r="A84" s="16" t="n"/>
      <c r="B84" s="17" t="n"/>
      <c r="C84" s="12" t="n"/>
      <c r="D84" s="12" t="n"/>
      <c r="E84" s="18" t="n"/>
      <c r="F84" s="18" t="n"/>
      <c r="G84" s="13" t="n"/>
      <c r="H84" s="13" t="n"/>
      <c r="I84" s="13" t="n"/>
      <c r="J84" s="13" t="n"/>
      <c r="K84" s="19">
        <f>IF(AND(A84="",C84="",D84=""),"",IF(A84="","Missing the date in column A",IF(OR(C84="",D84=""),IF(I84="Bracket","OK - bracket TBD","Missing a team"),IF(C84=D84,"Same team twice",IF(AND(COUNTIF(Teams!$B$5:$B$204,C84)=0,NOT(SUMPRODUCT(--ISNUMBER(SEARCH(","&amp;C84&amp;",",","&amp;SUBSTITUTE(SUBSTITUTE(Teams!$E$5:$E$204,", ",",")," ,",",")&amp;",")))&gt;0)),"Away team not on Teams tab",IF(AND(COUNTIF(Teams!$B$5:$B$204,D84)=0,NOT(SUMPRODUCT(--ISNUMBER(SEARCH(","&amp;D84&amp;",",","&amp;SUBSTITUTE(SUBSTITUTE(Teams!$E$5:$E$204,", ",",")," ,",",")&amp;",")))&gt;0)),"Home team not on Teams tab",IF(AND(E84&lt;&gt;"",F84=""),"Only one score entered",IF(AND(F84&lt;&gt;"",E84=""),"Only one score entered","OK"))))))))</f>
        <v/>
      </c>
    </row>
    <row r="85">
      <c r="A85" s="16" t="n"/>
      <c r="B85" s="17" t="n"/>
      <c r="C85" s="12" t="n"/>
      <c r="D85" s="12" t="n"/>
      <c r="E85" s="18" t="n"/>
      <c r="F85" s="18" t="n"/>
      <c r="G85" s="13" t="n"/>
      <c r="H85" s="13" t="n"/>
      <c r="I85" s="13" t="n"/>
      <c r="J85" s="13" t="n"/>
      <c r="K85" s="19">
        <f>IF(AND(A85="",C85="",D85=""),"",IF(A85="","Missing the date in column A",IF(OR(C85="",D85=""),IF(I85="Bracket","OK - bracket TBD","Missing a team"),IF(C85=D85,"Same team twice",IF(AND(COUNTIF(Teams!$B$5:$B$204,C85)=0,NOT(SUMPRODUCT(--ISNUMBER(SEARCH(","&amp;C85&amp;",",","&amp;SUBSTITUTE(SUBSTITUTE(Teams!$E$5:$E$204,", ",",")," ,",",")&amp;",")))&gt;0)),"Away team not on Teams tab",IF(AND(COUNTIF(Teams!$B$5:$B$204,D85)=0,NOT(SUMPRODUCT(--ISNUMBER(SEARCH(","&amp;D85&amp;",",","&amp;SUBSTITUTE(SUBSTITUTE(Teams!$E$5:$E$204,", ",",")," ,",",")&amp;",")))&gt;0)),"Home team not on Teams tab",IF(AND(E85&lt;&gt;"",F85=""),"Only one score entered",IF(AND(F85&lt;&gt;"",E85=""),"Only one score entered","OK"))))))))</f>
        <v/>
      </c>
    </row>
    <row r="86">
      <c r="A86" s="16" t="n"/>
      <c r="B86" s="17" t="n"/>
      <c r="C86" s="12" t="n"/>
      <c r="D86" s="12" t="n"/>
      <c r="E86" s="18" t="n"/>
      <c r="F86" s="18" t="n"/>
      <c r="G86" s="13" t="n"/>
      <c r="H86" s="13" t="n"/>
      <c r="I86" s="13" t="n"/>
      <c r="J86" s="13" t="n"/>
      <c r="K86" s="19">
        <f>IF(AND(A86="",C86="",D86=""),"",IF(A86="","Missing the date in column A",IF(OR(C86="",D86=""),IF(I86="Bracket","OK - bracket TBD","Missing a team"),IF(C86=D86,"Same team twice",IF(AND(COUNTIF(Teams!$B$5:$B$204,C86)=0,NOT(SUMPRODUCT(--ISNUMBER(SEARCH(","&amp;C86&amp;",",","&amp;SUBSTITUTE(SUBSTITUTE(Teams!$E$5:$E$204,", ",",")," ,",",")&amp;",")))&gt;0)),"Away team not on Teams tab",IF(AND(COUNTIF(Teams!$B$5:$B$204,D86)=0,NOT(SUMPRODUCT(--ISNUMBER(SEARCH(","&amp;D86&amp;",",","&amp;SUBSTITUTE(SUBSTITUTE(Teams!$E$5:$E$204,", ",",")," ,",",")&amp;",")))&gt;0)),"Home team not on Teams tab",IF(AND(E86&lt;&gt;"",F86=""),"Only one score entered",IF(AND(F86&lt;&gt;"",E86=""),"Only one score entered","OK"))))))))</f>
        <v/>
      </c>
    </row>
    <row r="87">
      <c r="A87" s="16" t="n"/>
      <c r="B87" s="17" t="n"/>
      <c r="C87" s="12" t="n"/>
      <c r="D87" s="12" t="n"/>
      <c r="E87" s="18" t="n"/>
      <c r="F87" s="18" t="n"/>
      <c r="G87" s="13" t="n"/>
      <c r="H87" s="13" t="n"/>
      <c r="I87" s="13" t="n"/>
      <c r="J87" s="13" t="n"/>
      <c r="K87" s="19">
        <f>IF(AND(A87="",C87="",D87=""),"",IF(A87="","Missing the date in column A",IF(OR(C87="",D87=""),IF(I87="Bracket","OK - bracket TBD","Missing a team"),IF(C87=D87,"Same team twice",IF(AND(COUNTIF(Teams!$B$5:$B$204,C87)=0,NOT(SUMPRODUCT(--ISNUMBER(SEARCH(","&amp;C87&amp;",",","&amp;SUBSTITUTE(SUBSTITUTE(Teams!$E$5:$E$204,", ",",")," ,",",")&amp;",")))&gt;0)),"Away team not on Teams tab",IF(AND(COUNTIF(Teams!$B$5:$B$204,D87)=0,NOT(SUMPRODUCT(--ISNUMBER(SEARCH(","&amp;D87&amp;",",","&amp;SUBSTITUTE(SUBSTITUTE(Teams!$E$5:$E$204,", ",",")," ,",",")&amp;",")))&gt;0)),"Home team not on Teams tab",IF(AND(E87&lt;&gt;"",F87=""),"Only one score entered",IF(AND(F87&lt;&gt;"",E87=""),"Only one score entered","OK"))))))))</f>
        <v/>
      </c>
    </row>
    <row r="88">
      <c r="A88" s="16" t="n"/>
      <c r="B88" s="17" t="n"/>
      <c r="C88" s="12" t="n"/>
      <c r="D88" s="12" t="n"/>
      <c r="E88" s="18" t="n"/>
      <c r="F88" s="18" t="n"/>
      <c r="G88" s="13" t="n"/>
      <c r="H88" s="13" t="n"/>
      <c r="I88" s="13" t="n"/>
      <c r="J88" s="13" t="n"/>
      <c r="K88" s="19">
        <f>IF(AND(A88="",C88="",D88=""),"",IF(A88="","Missing the date in column A",IF(OR(C88="",D88=""),IF(I88="Bracket","OK - bracket TBD","Missing a team"),IF(C88=D88,"Same team twice",IF(AND(COUNTIF(Teams!$B$5:$B$204,C88)=0,NOT(SUMPRODUCT(--ISNUMBER(SEARCH(","&amp;C88&amp;",",","&amp;SUBSTITUTE(SUBSTITUTE(Teams!$E$5:$E$204,", ",",")," ,",",")&amp;",")))&gt;0)),"Away team not on Teams tab",IF(AND(COUNTIF(Teams!$B$5:$B$204,D88)=0,NOT(SUMPRODUCT(--ISNUMBER(SEARCH(","&amp;D88&amp;",",","&amp;SUBSTITUTE(SUBSTITUTE(Teams!$E$5:$E$204,", ",",")," ,",",")&amp;",")))&gt;0)),"Home team not on Teams tab",IF(AND(E88&lt;&gt;"",F88=""),"Only one score entered",IF(AND(F88&lt;&gt;"",E88=""),"Only one score entered","OK"))))))))</f>
        <v/>
      </c>
    </row>
    <row r="89">
      <c r="A89" s="16" t="n"/>
      <c r="B89" s="17" t="n"/>
      <c r="C89" s="12" t="n"/>
      <c r="D89" s="12" t="n"/>
      <c r="E89" s="18" t="n"/>
      <c r="F89" s="18" t="n"/>
      <c r="G89" s="13" t="n"/>
      <c r="H89" s="13" t="n"/>
      <c r="I89" s="13" t="n"/>
      <c r="J89" s="13" t="n"/>
      <c r="K89" s="19">
        <f>IF(AND(A89="",C89="",D89=""),"",IF(A89="","Missing the date in column A",IF(OR(C89="",D89=""),IF(I89="Bracket","OK - bracket TBD","Missing a team"),IF(C89=D89,"Same team twice",IF(AND(COUNTIF(Teams!$B$5:$B$204,C89)=0,NOT(SUMPRODUCT(--ISNUMBER(SEARCH(","&amp;C89&amp;",",","&amp;SUBSTITUTE(SUBSTITUTE(Teams!$E$5:$E$204,", ",",")," ,",",")&amp;",")))&gt;0)),"Away team not on Teams tab",IF(AND(COUNTIF(Teams!$B$5:$B$204,D89)=0,NOT(SUMPRODUCT(--ISNUMBER(SEARCH(","&amp;D89&amp;",",","&amp;SUBSTITUTE(SUBSTITUTE(Teams!$E$5:$E$204,", ",",")," ,",",")&amp;",")))&gt;0)),"Home team not on Teams tab",IF(AND(E89&lt;&gt;"",F89=""),"Only one score entered",IF(AND(F89&lt;&gt;"",E89=""),"Only one score entered","OK"))))))))</f>
        <v/>
      </c>
    </row>
    <row r="90">
      <c r="A90" s="16" t="n"/>
      <c r="B90" s="17" t="n"/>
      <c r="C90" s="12" t="n"/>
      <c r="D90" s="12" t="n"/>
      <c r="E90" s="18" t="n"/>
      <c r="F90" s="18" t="n"/>
      <c r="G90" s="13" t="n"/>
      <c r="H90" s="13" t="n"/>
      <c r="I90" s="13" t="n"/>
      <c r="J90" s="13" t="n"/>
      <c r="K90" s="19">
        <f>IF(AND(A90="",C90="",D90=""),"",IF(A90="","Missing the date in column A",IF(OR(C90="",D90=""),IF(I90="Bracket","OK - bracket TBD","Missing a team"),IF(C90=D90,"Same team twice",IF(AND(COUNTIF(Teams!$B$5:$B$204,C90)=0,NOT(SUMPRODUCT(--ISNUMBER(SEARCH(","&amp;C90&amp;",",","&amp;SUBSTITUTE(SUBSTITUTE(Teams!$E$5:$E$204,", ",",")," ,",",")&amp;",")))&gt;0)),"Away team not on Teams tab",IF(AND(COUNTIF(Teams!$B$5:$B$204,D90)=0,NOT(SUMPRODUCT(--ISNUMBER(SEARCH(","&amp;D90&amp;",",","&amp;SUBSTITUTE(SUBSTITUTE(Teams!$E$5:$E$204,", ",",")," ,",",")&amp;",")))&gt;0)),"Home team not on Teams tab",IF(AND(E90&lt;&gt;"",F90=""),"Only one score entered",IF(AND(F90&lt;&gt;"",E90=""),"Only one score entered","OK"))))))))</f>
        <v/>
      </c>
    </row>
    <row r="91">
      <c r="A91" s="16" t="n"/>
      <c r="B91" s="17" t="n"/>
      <c r="C91" s="12" t="n"/>
      <c r="D91" s="12" t="n"/>
      <c r="E91" s="18" t="n"/>
      <c r="F91" s="18" t="n"/>
      <c r="G91" s="13" t="n"/>
      <c r="H91" s="13" t="n"/>
      <c r="I91" s="13" t="n"/>
      <c r="J91" s="13" t="n"/>
      <c r="K91" s="19">
        <f>IF(AND(A91="",C91="",D91=""),"",IF(A91="","Missing the date in column A",IF(OR(C91="",D91=""),IF(I91="Bracket","OK - bracket TBD","Missing a team"),IF(C91=D91,"Same team twice",IF(AND(COUNTIF(Teams!$B$5:$B$204,C91)=0,NOT(SUMPRODUCT(--ISNUMBER(SEARCH(","&amp;C91&amp;",",","&amp;SUBSTITUTE(SUBSTITUTE(Teams!$E$5:$E$204,", ",",")," ,",",")&amp;",")))&gt;0)),"Away team not on Teams tab",IF(AND(COUNTIF(Teams!$B$5:$B$204,D91)=0,NOT(SUMPRODUCT(--ISNUMBER(SEARCH(","&amp;D91&amp;",",","&amp;SUBSTITUTE(SUBSTITUTE(Teams!$E$5:$E$204,", ",",")," ,",",")&amp;",")))&gt;0)),"Home team not on Teams tab",IF(AND(E91&lt;&gt;"",F91=""),"Only one score entered",IF(AND(F91&lt;&gt;"",E91=""),"Only one score entered","OK"))))))))</f>
        <v/>
      </c>
    </row>
    <row r="92">
      <c r="A92" s="16" t="n"/>
      <c r="B92" s="17" t="n"/>
      <c r="C92" s="12" t="n"/>
      <c r="D92" s="12" t="n"/>
      <c r="E92" s="18" t="n"/>
      <c r="F92" s="18" t="n"/>
      <c r="G92" s="13" t="n"/>
      <c r="H92" s="13" t="n"/>
      <c r="I92" s="13" t="n"/>
      <c r="J92" s="13" t="n"/>
      <c r="K92" s="19">
        <f>IF(AND(A92="",C92="",D92=""),"",IF(A92="","Missing the date in column A",IF(OR(C92="",D92=""),IF(I92="Bracket","OK - bracket TBD","Missing a team"),IF(C92=D92,"Same team twice",IF(AND(COUNTIF(Teams!$B$5:$B$204,C92)=0,NOT(SUMPRODUCT(--ISNUMBER(SEARCH(","&amp;C92&amp;",",","&amp;SUBSTITUTE(SUBSTITUTE(Teams!$E$5:$E$204,", ",",")," ,",",")&amp;",")))&gt;0)),"Away team not on Teams tab",IF(AND(COUNTIF(Teams!$B$5:$B$204,D92)=0,NOT(SUMPRODUCT(--ISNUMBER(SEARCH(","&amp;D92&amp;",",","&amp;SUBSTITUTE(SUBSTITUTE(Teams!$E$5:$E$204,", ",",")," ,",",")&amp;",")))&gt;0)),"Home team not on Teams tab",IF(AND(E92&lt;&gt;"",F92=""),"Only one score entered",IF(AND(F92&lt;&gt;"",E92=""),"Only one score entered","OK"))))))))</f>
        <v/>
      </c>
    </row>
    <row r="93">
      <c r="A93" s="16" t="n"/>
      <c r="B93" s="17" t="n"/>
      <c r="C93" s="12" t="n"/>
      <c r="D93" s="12" t="n"/>
      <c r="E93" s="18" t="n"/>
      <c r="F93" s="18" t="n"/>
      <c r="G93" s="13" t="n"/>
      <c r="H93" s="13" t="n"/>
      <c r="I93" s="13" t="n"/>
      <c r="J93" s="13" t="n"/>
      <c r="K93" s="19">
        <f>IF(AND(A93="",C93="",D93=""),"",IF(A93="","Missing the date in column A",IF(OR(C93="",D93=""),IF(I93="Bracket","OK - bracket TBD","Missing a team"),IF(C93=D93,"Same team twice",IF(AND(COUNTIF(Teams!$B$5:$B$204,C93)=0,NOT(SUMPRODUCT(--ISNUMBER(SEARCH(","&amp;C93&amp;",",","&amp;SUBSTITUTE(SUBSTITUTE(Teams!$E$5:$E$204,", ",",")," ,",",")&amp;",")))&gt;0)),"Away team not on Teams tab",IF(AND(COUNTIF(Teams!$B$5:$B$204,D93)=0,NOT(SUMPRODUCT(--ISNUMBER(SEARCH(","&amp;D93&amp;",",","&amp;SUBSTITUTE(SUBSTITUTE(Teams!$E$5:$E$204,", ",",")," ,",",")&amp;",")))&gt;0)),"Home team not on Teams tab",IF(AND(E93&lt;&gt;"",F93=""),"Only one score entered",IF(AND(F93&lt;&gt;"",E93=""),"Only one score entered","OK"))))))))</f>
        <v/>
      </c>
    </row>
    <row r="94">
      <c r="A94" s="16" t="n"/>
      <c r="B94" s="17" t="n"/>
      <c r="C94" s="12" t="n"/>
      <c r="D94" s="12" t="n"/>
      <c r="E94" s="18" t="n"/>
      <c r="F94" s="18" t="n"/>
      <c r="G94" s="13" t="n"/>
      <c r="H94" s="13" t="n"/>
      <c r="I94" s="13" t="n"/>
      <c r="J94" s="13" t="n"/>
      <c r="K94" s="19">
        <f>IF(AND(A94="",C94="",D94=""),"",IF(A94="","Missing the date in column A",IF(OR(C94="",D94=""),IF(I94="Bracket","OK - bracket TBD","Missing a team"),IF(C94=D94,"Same team twice",IF(AND(COUNTIF(Teams!$B$5:$B$204,C94)=0,NOT(SUMPRODUCT(--ISNUMBER(SEARCH(","&amp;C94&amp;",",","&amp;SUBSTITUTE(SUBSTITUTE(Teams!$E$5:$E$204,", ",",")," ,",",")&amp;",")))&gt;0)),"Away team not on Teams tab",IF(AND(COUNTIF(Teams!$B$5:$B$204,D94)=0,NOT(SUMPRODUCT(--ISNUMBER(SEARCH(","&amp;D94&amp;",",","&amp;SUBSTITUTE(SUBSTITUTE(Teams!$E$5:$E$204,", ",",")," ,",",")&amp;",")))&gt;0)),"Home team not on Teams tab",IF(AND(E94&lt;&gt;"",F94=""),"Only one score entered",IF(AND(F94&lt;&gt;"",E94=""),"Only one score entered","OK"))))))))</f>
        <v/>
      </c>
    </row>
    <row r="95">
      <c r="A95" s="16" t="n"/>
      <c r="B95" s="17" t="n"/>
      <c r="C95" s="12" t="n"/>
      <c r="D95" s="12" t="n"/>
      <c r="E95" s="18" t="n"/>
      <c r="F95" s="18" t="n"/>
      <c r="G95" s="13" t="n"/>
      <c r="H95" s="13" t="n"/>
      <c r="I95" s="13" t="n"/>
      <c r="J95" s="13" t="n"/>
      <c r="K95" s="19">
        <f>IF(AND(A95="",C95="",D95=""),"",IF(A95="","Missing the date in column A",IF(OR(C95="",D95=""),IF(I95="Bracket","OK - bracket TBD","Missing a team"),IF(C95=D95,"Same team twice",IF(AND(COUNTIF(Teams!$B$5:$B$204,C95)=0,NOT(SUMPRODUCT(--ISNUMBER(SEARCH(","&amp;C95&amp;",",","&amp;SUBSTITUTE(SUBSTITUTE(Teams!$E$5:$E$204,", ",",")," ,",",")&amp;",")))&gt;0)),"Away team not on Teams tab",IF(AND(COUNTIF(Teams!$B$5:$B$204,D95)=0,NOT(SUMPRODUCT(--ISNUMBER(SEARCH(","&amp;D95&amp;",",","&amp;SUBSTITUTE(SUBSTITUTE(Teams!$E$5:$E$204,", ",",")," ,",",")&amp;",")))&gt;0)),"Home team not on Teams tab",IF(AND(E95&lt;&gt;"",F95=""),"Only one score entered",IF(AND(F95&lt;&gt;"",E95=""),"Only one score entered","OK"))))))))</f>
        <v/>
      </c>
    </row>
    <row r="96">
      <c r="A96" s="16" t="n"/>
      <c r="B96" s="17" t="n"/>
      <c r="C96" s="12" t="n"/>
      <c r="D96" s="12" t="n"/>
      <c r="E96" s="18" t="n"/>
      <c r="F96" s="18" t="n"/>
      <c r="G96" s="13" t="n"/>
      <c r="H96" s="13" t="n"/>
      <c r="I96" s="13" t="n"/>
      <c r="J96" s="13" t="n"/>
      <c r="K96" s="19">
        <f>IF(AND(A96="",C96="",D96=""),"",IF(A96="","Missing the date in column A",IF(OR(C96="",D96=""),IF(I96="Bracket","OK - bracket TBD","Missing a team"),IF(C96=D96,"Same team twice",IF(AND(COUNTIF(Teams!$B$5:$B$204,C96)=0,NOT(SUMPRODUCT(--ISNUMBER(SEARCH(","&amp;C96&amp;",",","&amp;SUBSTITUTE(SUBSTITUTE(Teams!$E$5:$E$204,", ",",")," ,",",")&amp;",")))&gt;0)),"Away team not on Teams tab",IF(AND(COUNTIF(Teams!$B$5:$B$204,D96)=0,NOT(SUMPRODUCT(--ISNUMBER(SEARCH(","&amp;D96&amp;",",","&amp;SUBSTITUTE(SUBSTITUTE(Teams!$E$5:$E$204,", ",",")," ,",",")&amp;",")))&gt;0)),"Home team not on Teams tab",IF(AND(E96&lt;&gt;"",F96=""),"Only one score entered",IF(AND(F96&lt;&gt;"",E96=""),"Only one score entered","OK"))))))))</f>
        <v/>
      </c>
    </row>
    <row r="97">
      <c r="A97" s="16" t="n"/>
      <c r="B97" s="17" t="n"/>
      <c r="C97" s="12" t="n"/>
      <c r="D97" s="12" t="n"/>
      <c r="E97" s="18" t="n"/>
      <c r="F97" s="18" t="n"/>
      <c r="G97" s="13" t="n"/>
      <c r="H97" s="13" t="n"/>
      <c r="I97" s="13" t="n"/>
      <c r="J97" s="13" t="n"/>
      <c r="K97" s="19">
        <f>IF(AND(A97="",C97="",D97=""),"",IF(A97="","Missing the date in column A",IF(OR(C97="",D97=""),IF(I97="Bracket","OK - bracket TBD","Missing a team"),IF(C97=D97,"Same team twice",IF(AND(COUNTIF(Teams!$B$5:$B$204,C97)=0,NOT(SUMPRODUCT(--ISNUMBER(SEARCH(","&amp;C97&amp;",",","&amp;SUBSTITUTE(SUBSTITUTE(Teams!$E$5:$E$204,", ",",")," ,",",")&amp;",")))&gt;0)),"Away team not on Teams tab",IF(AND(COUNTIF(Teams!$B$5:$B$204,D97)=0,NOT(SUMPRODUCT(--ISNUMBER(SEARCH(","&amp;D97&amp;",",","&amp;SUBSTITUTE(SUBSTITUTE(Teams!$E$5:$E$204,", ",",")," ,",",")&amp;",")))&gt;0)),"Home team not on Teams tab",IF(AND(E97&lt;&gt;"",F97=""),"Only one score entered",IF(AND(F97&lt;&gt;"",E97=""),"Only one score entered","OK"))))))))</f>
        <v/>
      </c>
    </row>
    <row r="98">
      <c r="A98" s="16" t="n"/>
      <c r="B98" s="17" t="n"/>
      <c r="C98" s="12" t="n"/>
      <c r="D98" s="12" t="n"/>
      <c r="E98" s="18" t="n"/>
      <c r="F98" s="18" t="n"/>
      <c r="G98" s="13" t="n"/>
      <c r="H98" s="13" t="n"/>
      <c r="I98" s="13" t="n"/>
      <c r="J98" s="13" t="n"/>
      <c r="K98" s="19">
        <f>IF(AND(A98="",C98="",D98=""),"",IF(A98="","Missing the date in column A",IF(OR(C98="",D98=""),IF(I98="Bracket","OK - bracket TBD","Missing a team"),IF(C98=D98,"Same team twice",IF(AND(COUNTIF(Teams!$B$5:$B$204,C98)=0,NOT(SUMPRODUCT(--ISNUMBER(SEARCH(","&amp;C98&amp;",",","&amp;SUBSTITUTE(SUBSTITUTE(Teams!$E$5:$E$204,", ",",")," ,",",")&amp;",")))&gt;0)),"Away team not on Teams tab",IF(AND(COUNTIF(Teams!$B$5:$B$204,D98)=0,NOT(SUMPRODUCT(--ISNUMBER(SEARCH(","&amp;D98&amp;",",","&amp;SUBSTITUTE(SUBSTITUTE(Teams!$E$5:$E$204,", ",",")," ,",",")&amp;",")))&gt;0)),"Home team not on Teams tab",IF(AND(E98&lt;&gt;"",F98=""),"Only one score entered",IF(AND(F98&lt;&gt;"",E98=""),"Only one score entered","OK"))))))))</f>
        <v/>
      </c>
    </row>
    <row r="99">
      <c r="A99" s="16" t="n"/>
      <c r="B99" s="17" t="n"/>
      <c r="C99" s="12" t="n"/>
      <c r="D99" s="12" t="n"/>
      <c r="E99" s="18" t="n"/>
      <c r="F99" s="18" t="n"/>
      <c r="G99" s="13" t="n"/>
      <c r="H99" s="13" t="n"/>
      <c r="I99" s="13" t="n"/>
      <c r="J99" s="13" t="n"/>
      <c r="K99" s="19">
        <f>IF(AND(A99="",C99="",D99=""),"",IF(A99="","Missing the date in column A",IF(OR(C99="",D99=""),IF(I99="Bracket","OK - bracket TBD","Missing a team"),IF(C99=D99,"Same team twice",IF(AND(COUNTIF(Teams!$B$5:$B$204,C99)=0,NOT(SUMPRODUCT(--ISNUMBER(SEARCH(","&amp;C99&amp;",",","&amp;SUBSTITUTE(SUBSTITUTE(Teams!$E$5:$E$204,", ",",")," ,",",")&amp;",")))&gt;0)),"Away team not on Teams tab",IF(AND(COUNTIF(Teams!$B$5:$B$204,D99)=0,NOT(SUMPRODUCT(--ISNUMBER(SEARCH(","&amp;D99&amp;",",","&amp;SUBSTITUTE(SUBSTITUTE(Teams!$E$5:$E$204,", ",",")," ,",",")&amp;",")))&gt;0)),"Home team not on Teams tab",IF(AND(E99&lt;&gt;"",F99=""),"Only one score entered",IF(AND(F99&lt;&gt;"",E99=""),"Only one score entered","OK"))))))))</f>
        <v/>
      </c>
    </row>
    <row r="100">
      <c r="A100" s="16" t="n"/>
      <c r="B100" s="17" t="n"/>
      <c r="C100" s="12" t="n"/>
      <c r="D100" s="12" t="n"/>
      <c r="E100" s="18" t="n"/>
      <c r="F100" s="18" t="n"/>
      <c r="G100" s="13" t="n"/>
      <c r="H100" s="13" t="n"/>
      <c r="I100" s="13" t="n"/>
      <c r="J100" s="13" t="n"/>
      <c r="K100" s="19">
        <f>IF(AND(A100="",C100="",D100=""),"",IF(A100="","Missing the date in column A",IF(OR(C100="",D100=""),IF(I100="Bracket","OK - bracket TBD","Missing a team"),IF(C100=D100,"Same team twice",IF(AND(COUNTIF(Teams!$B$5:$B$204,C100)=0,NOT(SUMPRODUCT(--ISNUMBER(SEARCH(","&amp;C100&amp;",",","&amp;SUBSTITUTE(SUBSTITUTE(Teams!$E$5:$E$204,", ",",")," ,",",")&amp;",")))&gt;0)),"Away team not on Teams tab",IF(AND(COUNTIF(Teams!$B$5:$B$204,D100)=0,NOT(SUMPRODUCT(--ISNUMBER(SEARCH(","&amp;D100&amp;",",","&amp;SUBSTITUTE(SUBSTITUTE(Teams!$E$5:$E$204,", ",",")," ,",",")&amp;",")))&gt;0)),"Home team not on Teams tab",IF(AND(E100&lt;&gt;"",F100=""),"Only one score entered",IF(AND(F100&lt;&gt;"",E100=""),"Only one score entered","OK"))))))))</f>
        <v/>
      </c>
    </row>
    <row r="101">
      <c r="A101" s="16" t="n"/>
      <c r="B101" s="17" t="n"/>
      <c r="C101" s="12" t="n"/>
      <c r="D101" s="12" t="n"/>
      <c r="E101" s="18" t="n"/>
      <c r="F101" s="18" t="n"/>
      <c r="G101" s="13" t="n"/>
      <c r="H101" s="13" t="n"/>
      <c r="I101" s="13" t="n"/>
      <c r="J101" s="13" t="n"/>
      <c r="K101" s="19">
        <f>IF(AND(A101="",C101="",D101=""),"",IF(A101="","Missing the date in column A",IF(OR(C101="",D101=""),IF(I101="Bracket","OK - bracket TBD","Missing a team"),IF(C101=D101,"Same team twice",IF(AND(COUNTIF(Teams!$B$5:$B$204,C101)=0,NOT(SUMPRODUCT(--ISNUMBER(SEARCH(","&amp;C101&amp;",",","&amp;SUBSTITUTE(SUBSTITUTE(Teams!$E$5:$E$204,", ",",")," ,",",")&amp;",")))&gt;0)),"Away team not on Teams tab",IF(AND(COUNTIF(Teams!$B$5:$B$204,D101)=0,NOT(SUMPRODUCT(--ISNUMBER(SEARCH(","&amp;D101&amp;",",","&amp;SUBSTITUTE(SUBSTITUTE(Teams!$E$5:$E$204,", ",",")," ,",",")&amp;",")))&gt;0)),"Home team not on Teams tab",IF(AND(E101&lt;&gt;"",F101=""),"Only one score entered",IF(AND(F101&lt;&gt;"",E101=""),"Only one score entered","OK"))))))))</f>
        <v/>
      </c>
    </row>
    <row r="102">
      <c r="A102" s="16" t="n"/>
      <c r="B102" s="17" t="n"/>
      <c r="C102" s="12" t="n"/>
      <c r="D102" s="12" t="n"/>
      <c r="E102" s="18" t="n"/>
      <c r="F102" s="18" t="n"/>
      <c r="G102" s="13" t="n"/>
      <c r="H102" s="13" t="n"/>
      <c r="I102" s="13" t="n"/>
      <c r="J102" s="13" t="n"/>
      <c r="K102" s="19">
        <f>IF(AND(A102="",C102="",D102=""),"",IF(A102="","Missing the date in column A",IF(OR(C102="",D102=""),IF(I102="Bracket","OK - bracket TBD","Missing a team"),IF(C102=D102,"Same team twice",IF(AND(COUNTIF(Teams!$B$5:$B$204,C102)=0,NOT(SUMPRODUCT(--ISNUMBER(SEARCH(","&amp;C102&amp;",",","&amp;SUBSTITUTE(SUBSTITUTE(Teams!$E$5:$E$204,", ",",")," ,",",")&amp;",")))&gt;0)),"Away team not on Teams tab",IF(AND(COUNTIF(Teams!$B$5:$B$204,D102)=0,NOT(SUMPRODUCT(--ISNUMBER(SEARCH(","&amp;D102&amp;",",","&amp;SUBSTITUTE(SUBSTITUTE(Teams!$E$5:$E$204,", ",",")," ,",",")&amp;",")))&gt;0)),"Home team not on Teams tab",IF(AND(E102&lt;&gt;"",F102=""),"Only one score entered",IF(AND(F102&lt;&gt;"",E102=""),"Only one score entered","OK"))))))))</f>
        <v/>
      </c>
    </row>
    <row r="103">
      <c r="A103" s="16" t="n"/>
      <c r="B103" s="17" t="n"/>
      <c r="C103" s="12" t="n"/>
      <c r="D103" s="12" t="n"/>
      <c r="E103" s="18" t="n"/>
      <c r="F103" s="18" t="n"/>
      <c r="G103" s="13" t="n"/>
      <c r="H103" s="13" t="n"/>
      <c r="I103" s="13" t="n"/>
      <c r="J103" s="13" t="n"/>
      <c r="K103" s="19">
        <f>IF(AND(A103="",C103="",D103=""),"",IF(A103="","Missing the date in column A",IF(OR(C103="",D103=""),IF(I103="Bracket","OK - bracket TBD","Missing a team"),IF(C103=D103,"Same team twice",IF(AND(COUNTIF(Teams!$B$5:$B$204,C103)=0,NOT(SUMPRODUCT(--ISNUMBER(SEARCH(","&amp;C103&amp;",",","&amp;SUBSTITUTE(SUBSTITUTE(Teams!$E$5:$E$204,", ",",")," ,",",")&amp;",")))&gt;0)),"Away team not on Teams tab",IF(AND(COUNTIF(Teams!$B$5:$B$204,D103)=0,NOT(SUMPRODUCT(--ISNUMBER(SEARCH(","&amp;D103&amp;",",","&amp;SUBSTITUTE(SUBSTITUTE(Teams!$E$5:$E$204,", ",",")," ,",",")&amp;",")))&gt;0)),"Home team not on Teams tab",IF(AND(E103&lt;&gt;"",F103=""),"Only one score entered",IF(AND(F103&lt;&gt;"",E103=""),"Only one score entered","OK"))))))))</f>
        <v/>
      </c>
    </row>
    <row r="104">
      <c r="A104" s="16" t="n"/>
      <c r="B104" s="17" t="n"/>
      <c r="C104" s="12" t="n"/>
      <c r="D104" s="12" t="n"/>
      <c r="E104" s="18" t="n"/>
      <c r="F104" s="18" t="n"/>
      <c r="G104" s="13" t="n"/>
      <c r="H104" s="13" t="n"/>
      <c r="I104" s="13" t="n"/>
      <c r="J104" s="13" t="n"/>
      <c r="K104" s="19">
        <f>IF(AND(A104="",C104="",D104=""),"",IF(A104="","Missing the date in column A",IF(OR(C104="",D104=""),IF(I104="Bracket","OK - bracket TBD","Missing a team"),IF(C104=D104,"Same team twice",IF(AND(COUNTIF(Teams!$B$5:$B$204,C104)=0,NOT(SUMPRODUCT(--ISNUMBER(SEARCH(","&amp;C104&amp;",",","&amp;SUBSTITUTE(SUBSTITUTE(Teams!$E$5:$E$204,", ",",")," ,",",")&amp;",")))&gt;0)),"Away team not on Teams tab",IF(AND(COUNTIF(Teams!$B$5:$B$204,D104)=0,NOT(SUMPRODUCT(--ISNUMBER(SEARCH(","&amp;D104&amp;",",","&amp;SUBSTITUTE(SUBSTITUTE(Teams!$E$5:$E$204,", ",",")," ,",",")&amp;",")))&gt;0)),"Home team not on Teams tab",IF(AND(E104&lt;&gt;"",F104=""),"Only one score entered",IF(AND(F104&lt;&gt;"",E104=""),"Only one score entered","OK"))))))))</f>
        <v/>
      </c>
    </row>
    <row r="105">
      <c r="A105" s="16" t="n"/>
      <c r="B105" s="17" t="n"/>
      <c r="C105" s="12" t="n"/>
      <c r="D105" s="12" t="n"/>
      <c r="E105" s="18" t="n"/>
      <c r="F105" s="18" t="n"/>
      <c r="G105" s="13" t="n"/>
      <c r="H105" s="13" t="n"/>
      <c r="I105" s="13" t="n"/>
      <c r="J105" s="13" t="n"/>
      <c r="K105" s="19">
        <f>IF(AND(A105="",C105="",D105=""),"",IF(A105="","Missing the date in column A",IF(OR(C105="",D105=""),IF(I105="Bracket","OK - bracket TBD","Missing a team"),IF(C105=D105,"Same team twice",IF(AND(COUNTIF(Teams!$B$5:$B$204,C105)=0,NOT(SUMPRODUCT(--ISNUMBER(SEARCH(","&amp;C105&amp;",",","&amp;SUBSTITUTE(SUBSTITUTE(Teams!$E$5:$E$204,", ",",")," ,",",")&amp;",")))&gt;0)),"Away team not on Teams tab",IF(AND(COUNTIF(Teams!$B$5:$B$204,D105)=0,NOT(SUMPRODUCT(--ISNUMBER(SEARCH(","&amp;D105&amp;",",","&amp;SUBSTITUTE(SUBSTITUTE(Teams!$E$5:$E$204,", ",",")," ,",",")&amp;",")))&gt;0)),"Home team not on Teams tab",IF(AND(E105&lt;&gt;"",F105=""),"Only one score entered",IF(AND(F105&lt;&gt;"",E105=""),"Only one score entered","OK"))))))))</f>
        <v/>
      </c>
    </row>
    <row r="106">
      <c r="A106" s="16" t="n"/>
      <c r="B106" s="17" t="n"/>
      <c r="C106" s="12" t="n"/>
      <c r="D106" s="12" t="n"/>
      <c r="E106" s="18" t="n"/>
      <c r="F106" s="18" t="n"/>
      <c r="G106" s="13" t="n"/>
      <c r="H106" s="13" t="n"/>
      <c r="I106" s="13" t="n"/>
      <c r="J106" s="13" t="n"/>
      <c r="K106" s="19">
        <f>IF(AND(A106="",C106="",D106=""),"",IF(A106="","Missing the date in column A",IF(OR(C106="",D106=""),IF(I106="Bracket","OK - bracket TBD","Missing a team"),IF(C106=D106,"Same team twice",IF(AND(COUNTIF(Teams!$B$5:$B$204,C106)=0,NOT(SUMPRODUCT(--ISNUMBER(SEARCH(","&amp;C106&amp;",",","&amp;SUBSTITUTE(SUBSTITUTE(Teams!$E$5:$E$204,", ",",")," ,",",")&amp;",")))&gt;0)),"Away team not on Teams tab",IF(AND(COUNTIF(Teams!$B$5:$B$204,D106)=0,NOT(SUMPRODUCT(--ISNUMBER(SEARCH(","&amp;D106&amp;",",","&amp;SUBSTITUTE(SUBSTITUTE(Teams!$E$5:$E$204,", ",",")," ,",",")&amp;",")))&gt;0)),"Home team not on Teams tab",IF(AND(E106&lt;&gt;"",F106=""),"Only one score entered",IF(AND(F106&lt;&gt;"",E106=""),"Only one score entered","OK"))))))))</f>
        <v/>
      </c>
    </row>
    <row r="107">
      <c r="A107" s="16" t="n"/>
      <c r="B107" s="17" t="n"/>
      <c r="C107" s="12" t="n"/>
      <c r="D107" s="12" t="n"/>
      <c r="E107" s="18" t="n"/>
      <c r="F107" s="18" t="n"/>
      <c r="G107" s="13" t="n"/>
      <c r="H107" s="13" t="n"/>
      <c r="I107" s="13" t="n"/>
      <c r="J107" s="13" t="n"/>
      <c r="K107" s="19">
        <f>IF(AND(A107="",C107="",D107=""),"",IF(A107="","Missing the date in column A",IF(OR(C107="",D107=""),IF(I107="Bracket","OK - bracket TBD","Missing a team"),IF(C107=D107,"Same team twice",IF(AND(COUNTIF(Teams!$B$5:$B$204,C107)=0,NOT(SUMPRODUCT(--ISNUMBER(SEARCH(","&amp;C107&amp;",",","&amp;SUBSTITUTE(SUBSTITUTE(Teams!$E$5:$E$204,", ",",")," ,",",")&amp;",")))&gt;0)),"Away team not on Teams tab",IF(AND(COUNTIF(Teams!$B$5:$B$204,D107)=0,NOT(SUMPRODUCT(--ISNUMBER(SEARCH(","&amp;D107&amp;",",","&amp;SUBSTITUTE(SUBSTITUTE(Teams!$E$5:$E$204,", ",",")," ,",",")&amp;",")))&gt;0)),"Home team not on Teams tab",IF(AND(E107&lt;&gt;"",F107=""),"Only one score entered",IF(AND(F107&lt;&gt;"",E107=""),"Only one score entered","OK"))))))))</f>
        <v/>
      </c>
    </row>
    <row r="108">
      <c r="A108" s="16" t="n"/>
      <c r="B108" s="17" t="n"/>
      <c r="C108" s="12" t="n"/>
      <c r="D108" s="12" t="n"/>
      <c r="E108" s="18" t="n"/>
      <c r="F108" s="18" t="n"/>
      <c r="G108" s="13" t="n"/>
      <c r="H108" s="13" t="n"/>
      <c r="I108" s="13" t="n"/>
      <c r="J108" s="13" t="n"/>
      <c r="K108" s="19">
        <f>IF(AND(A108="",C108="",D108=""),"",IF(A108="","Missing the date in column A",IF(OR(C108="",D108=""),IF(I108="Bracket","OK - bracket TBD","Missing a team"),IF(C108=D108,"Same team twice",IF(AND(COUNTIF(Teams!$B$5:$B$204,C108)=0,NOT(SUMPRODUCT(--ISNUMBER(SEARCH(","&amp;C108&amp;",",","&amp;SUBSTITUTE(SUBSTITUTE(Teams!$E$5:$E$204,", ",",")," ,",",")&amp;",")))&gt;0)),"Away team not on Teams tab",IF(AND(COUNTIF(Teams!$B$5:$B$204,D108)=0,NOT(SUMPRODUCT(--ISNUMBER(SEARCH(","&amp;D108&amp;",",","&amp;SUBSTITUTE(SUBSTITUTE(Teams!$E$5:$E$204,", ",",")," ,",",")&amp;",")))&gt;0)),"Home team not on Teams tab",IF(AND(E108&lt;&gt;"",F108=""),"Only one score entered",IF(AND(F108&lt;&gt;"",E108=""),"Only one score entered","OK"))))))))</f>
        <v/>
      </c>
    </row>
    <row r="109">
      <c r="A109" s="16" t="n"/>
      <c r="B109" s="17" t="n"/>
      <c r="C109" s="12" t="n"/>
      <c r="D109" s="12" t="n"/>
      <c r="E109" s="18" t="n"/>
      <c r="F109" s="18" t="n"/>
      <c r="G109" s="13" t="n"/>
      <c r="H109" s="13" t="n"/>
      <c r="I109" s="13" t="n"/>
      <c r="J109" s="13" t="n"/>
      <c r="K109" s="19">
        <f>IF(AND(A109="",C109="",D109=""),"",IF(A109="","Missing the date in column A",IF(OR(C109="",D109=""),IF(I109="Bracket","OK - bracket TBD","Missing a team"),IF(C109=D109,"Same team twice",IF(AND(COUNTIF(Teams!$B$5:$B$204,C109)=0,NOT(SUMPRODUCT(--ISNUMBER(SEARCH(","&amp;C109&amp;",",","&amp;SUBSTITUTE(SUBSTITUTE(Teams!$E$5:$E$204,", ",",")," ,",",")&amp;",")))&gt;0)),"Away team not on Teams tab",IF(AND(COUNTIF(Teams!$B$5:$B$204,D109)=0,NOT(SUMPRODUCT(--ISNUMBER(SEARCH(","&amp;D109&amp;",",","&amp;SUBSTITUTE(SUBSTITUTE(Teams!$E$5:$E$204,", ",",")," ,",",")&amp;",")))&gt;0)),"Home team not on Teams tab",IF(AND(E109&lt;&gt;"",F109=""),"Only one score entered",IF(AND(F109&lt;&gt;"",E109=""),"Only one score entered","OK"))))))))</f>
        <v/>
      </c>
    </row>
    <row r="110">
      <c r="A110" s="16" t="n"/>
      <c r="B110" s="17" t="n"/>
      <c r="C110" s="12" t="n"/>
      <c r="D110" s="12" t="n"/>
      <c r="E110" s="18" t="n"/>
      <c r="F110" s="18" t="n"/>
      <c r="G110" s="13" t="n"/>
      <c r="H110" s="13" t="n"/>
      <c r="I110" s="13" t="n"/>
      <c r="J110" s="13" t="n"/>
      <c r="K110" s="19">
        <f>IF(AND(A110="",C110="",D110=""),"",IF(A110="","Missing the date in column A",IF(OR(C110="",D110=""),IF(I110="Bracket","OK - bracket TBD","Missing a team"),IF(C110=D110,"Same team twice",IF(AND(COUNTIF(Teams!$B$5:$B$204,C110)=0,NOT(SUMPRODUCT(--ISNUMBER(SEARCH(","&amp;C110&amp;",",","&amp;SUBSTITUTE(SUBSTITUTE(Teams!$E$5:$E$204,", ",",")," ,",",")&amp;",")))&gt;0)),"Away team not on Teams tab",IF(AND(COUNTIF(Teams!$B$5:$B$204,D110)=0,NOT(SUMPRODUCT(--ISNUMBER(SEARCH(","&amp;D110&amp;",",","&amp;SUBSTITUTE(SUBSTITUTE(Teams!$E$5:$E$204,", ",",")," ,",",")&amp;",")))&gt;0)),"Home team not on Teams tab",IF(AND(E110&lt;&gt;"",F110=""),"Only one score entered",IF(AND(F110&lt;&gt;"",E110=""),"Only one score entered","OK"))))))))</f>
        <v/>
      </c>
    </row>
    <row r="111">
      <c r="A111" s="16" t="n"/>
      <c r="B111" s="17" t="n"/>
      <c r="C111" s="12" t="n"/>
      <c r="D111" s="12" t="n"/>
      <c r="E111" s="18" t="n"/>
      <c r="F111" s="18" t="n"/>
      <c r="G111" s="13" t="n"/>
      <c r="H111" s="13" t="n"/>
      <c r="I111" s="13" t="n"/>
      <c r="J111" s="13" t="n"/>
      <c r="K111" s="19">
        <f>IF(AND(A111="",C111="",D111=""),"",IF(A111="","Missing the date in column A",IF(OR(C111="",D111=""),IF(I111="Bracket","OK - bracket TBD","Missing a team"),IF(C111=D111,"Same team twice",IF(AND(COUNTIF(Teams!$B$5:$B$204,C111)=0,NOT(SUMPRODUCT(--ISNUMBER(SEARCH(","&amp;C111&amp;",",","&amp;SUBSTITUTE(SUBSTITUTE(Teams!$E$5:$E$204,", ",",")," ,",",")&amp;",")))&gt;0)),"Away team not on Teams tab",IF(AND(COUNTIF(Teams!$B$5:$B$204,D111)=0,NOT(SUMPRODUCT(--ISNUMBER(SEARCH(","&amp;D111&amp;",",","&amp;SUBSTITUTE(SUBSTITUTE(Teams!$E$5:$E$204,", ",",")," ,",",")&amp;",")))&gt;0)),"Home team not on Teams tab",IF(AND(E111&lt;&gt;"",F111=""),"Only one score entered",IF(AND(F111&lt;&gt;"",E111=""),"Only one score entered","OK"))))))))</f>
        <v/>
      </c>
    </row>
    <row r="112">
      <c r="A112" s="16" t="n"/>
      <c r="B112" s="17" t="n"/>
      <c r="C112" s="12" t="n"/>
      <c r="D112" s="12" t="n"/>
      <c r="E112" s="18" t="n"/>
      <c r="F112" s="18" t="n"/>
      <c r="G112" s="13" t="n"/>
      <c r="H112" s="13" t="n"/>
      <c r="I112" s="13" t="n"/>
      <c r="J112" s="13" t="n"/>
      <c r="K112" s="19">
        <f>IF(AND(A112="",C112="",D112=""),"",IF(A112="","Missing the date in column A",IF(OR(C112="",D112=""),IF(I112="Bracket","OK - bracket TBD","Missing a team"),IF(C112=D112,"Same team twice",IF(AND(COUNTIF(Teams!$B$5:$B$204,C112)=0,NOT(SUMPRODUCT(--ISNUMBER(SEARCH(","&amp;C112&amp;",",","&amp;SUBSTITUTE(SUBSTITUTE(Teams!$E$5:$E$204,", ",",")," ,",",")&amp;",")))&gt;0)),"Away team not on Teams tab",IF(AND(COUNTIF(Teams!$B$5:$B$204,D112)=0,NOT(SUMPRODUCT(--ISNUMBER(SEARCH(","&amp;D112&amp;",",","&amp;SUBSTITUTE(SUBSTITUTE(Teams!$E$5:$E$204,", ",",")," ,",",")&amp;",")))&gt;0)),"Home team not on Teams tab",IF(AND(E112&lt;&gt;"",F112=""),"Only one score entered",IF(AND(F112&lt;&gt;"",E112=""),"Only one score entered","OK"))))))))</f>
        <v/>
      </c>
    </row>
    <row r="113">
      <c r="A113" s="16" t="n"/>
      <c r="B113" s="17" t="n"/>
      <c r="C113" s="12" t="n"/>
      <c r="D113" s="12" t="n"/>
      <c r="E113" s="18" t="n"/>
      <c r="F113" s="18" t="n"/>
      <c r="G113" s="13" t="n"/>
      <c r="H113" s="13" t="n"/>
      <c r="I113" s="13" t="n"/>
      <c r="J113" s="13" t="n"/>
      <c r="K113" s="19">
        <f>IF(AND(A113="",C113="",D113=""),"",IF(A113="","Missing the date in column A",IF(OR(C113="",D113=""),IF(I113="Bracket","OK - bracket TBD","Missing a team"),IF(C113=D113,"Same team twice",IF(AND(COUNTIF(Teams!$B$5:$B$204,C113)=0,NOT(SUMPRODUCT(--ISNUMBER(SEARCH(","&amp;C113&amp;",",","&amp;SUBSTITUTE(SUBSTITUTE(Teams!$E$5:$E$204,", ",",")," ,",",")&amp;",")))&gt;0)),"Away team not on Teams tab",IF(AND(COUNTIF(Teams!$B$5:$B$204,D113)=0,NOT(SUMPRODUCT(--ISNUMBER(SEARCH(","&amp;D113&amp;",",","&amp;SUBSTITUTE(SUBSTITUTE(Teams!$E$5:$E$204,", ",",")," ,",",")&amp;",")))&gt;0)),"Home team not on Teams tab",IF(AND(E113&lt;&gt;"",F113=""),"Only one score entered",IF(AND(F113&lt;&gt;"",E113=""),"Only one score entered","OK"))))))))</f>
        <v/>
      </c>
    </row>
    <row r="114">
      <c r="A114" s="16" t="n"/>
      <c r="B114" s="17" t="n"/>
      <c r="C114" s="12" t="n"/>
      <c r="D114" s="12" t="n"/>
      <c r="E114" s="18" t="n"/>
      <c r="F114" s="18" t="n"/>
      <c r="G114" s="13" t="n"/>
      <c r="H114" s="13" t="n"/>
      <c r="I114" s="13" t="n"/>
      <c r="J114" s="13" t="n"/>
      <c r="K114" s="19">
        <f>IF(AND(A114="",C114="",D114=""),"",IF(A114="","Missing the date in column A",IF(OR(C114="",D114=""),IF(I114="Bracket","OK - bracket TBD","Missing a team"),IF(C114=D114,"Same team twice",IF(AND(COUNTIF(Teams!$B$5:$B$204,C114)=0,NOT(SUMPRODUCT(--ISNUMBER(SEARCH(","&amp;C114&amp;",",","&amp;SUBSTITUTE(SUBSTITUTE(Teams!$E$5:$E$204,", ",",")," ,",",")&amp;",")))&gt;0)),"Away team not on Teams tab",IF(AND(COUNTIF(Teams!$B$5:$B$204,D114)=0,NOT(SUMPRODUCT(--ISNUMBER(SEARCH(","&amp;D114&amp;",",","&amp;SUBSTITUTE(SUBSTITUTE(Teams!$E$5:$E$204,", ",",")," ,",",")&amp;",")))&gt;0)),"Home team not on Teams tab",IF(AND(E114&lt;&gt;"",F114=""),"Only one score entered",IF(AND(F114&lt;&gt;"",E114=""),"Only one score entered","OK"))))))))</f>
        <v/>
      </c>
    </row>
    <row r="115">
      <c r="A115" s="16" t="n"/>
      <c r="B115" s="17" t="n"/>
      <c r="C115" s="12" t="n"/>
      <c r="D115" s="12" t="n"/>
      <c r="E115" s="18" t="n"/>
      <c r="F115" s="18" t="n"/>
      <c r="G115" s="13" t="n"/>
      <c r="H115" s="13" t="n"/>
      <c r="I115" s="13" t="n"/>
      <c r="J115" s="13" t="n"/>
      <c r="K115" s="19">
        <f>IF(AND(A115="",C115="",D115=""),"",IF(A115="","Missing the date in column A",IF(OR(C115="",D115=""),IF(I115="Bracket","OK - bracket TBD","Missing a team"),IF(C115=D115,"Same team twice",IF(AND(COUNTIF(Teams!$B$5:$B$204,C115)=0,NOT(SUMPRODUCT(--ISNUMBER(SEARCH(","&amp;C115&amp;",",","&amp;SUBSTITUTE(SUBSTITUTE(Teams!$E$5:$E$204,", ",",")," ,",",")&amp;",")))&gt;0)),"Away team not on Teams tab",IF(AND(COUNTIF(Teams!$B$5:$B$204,D115)=0,NOT(SUMPRODUCT(--ISNUMBER(SEARCH(","&amp;D115&amp;",",","&amp;SUBSTITUTE(SUBSTITUTE(Teams!$E$5:$E$204,", ",",")," ,",",")&amp;",")))&gt;0)),"Home team not on Teams tab",IF(AND(E115&lt;&gt;"",F115=""),"Only one score entered",IF(AND(F115&lt;&gt;"",E115=""),"Only one score entered","OK"))))))))</f>
        <v/>
      </c>
    </row>
    <row r="116">
      <c r="A116" s="16" t="n"/>
      <c r="B116" s="17" t="n"/>
      <c r="C116" s="12" t="n"/>
      <c r="D116" s="12" t="n"/>
      <c r="E116" s="18" t="n"/>
      <c r="F116" s="18" t="n"/>
      <c r="G116" s="13" t="n"/>
      <c r="H116" s="13" t="n"/>
      <c r="I116" s="13" t="n"/>
      <c r="J116" s="13" t="n"/>
      <c r="K116" s="19">
        <f>IF(AND(A116="",C116="",D116=""),"",IF(A116="","Missing the date in column A",IF(OR(C116="",D116=""),IF(I116="Bracket","OK - bracket TBD","Missing a team"),IF(C116=D116,"Same team twice",IF(AND(COUNTIF(Teams!$B$5:$B$204,C116)=0,NOT(SUMPRODUCT(--ISNUMBER(SEARCH(","&amp;C116&amp;",",","&amp;SUBSTITUTE(SUBSTITUTE(Teams!$E$5:$E$204,", ",",")," ,",",")&amp;",")))&gt;0)),"Away team not on Teams tab",IF(AND(COUNTIF(Teams!$B$5:$B$204,D116)=0,NOT(SUMPRODUCT(--ISNUMBER(SEARCH(","&amp;D116&amp;",",","&amp;SUBSTITUTE(SUBSTITUTE(Teams!$E$5:$E$204,", ",",")," ,",",")&amp;",")))&gt;0)),"Home team not on Teams tab",IF(AND(E116&lt;&gt;"",F116=""),"Only one score entered",IF(AND(F116&lt;&gt;"",E116=""),"Only one score entered","OK"))))))))</f>
        <v/>
      </c>
    </row>
    <row r="117">
      <c r="A117" s="16" t="n"/>
      <c r="B117" s="17" t="n"/>
      <c r="C117" s="12" t="n"/>
      <c r="D117" s="12" t="n"/>
      <c r="E117" s="18" t="n"/>
      <c r="F117" s="18" t="n"/>
      <c r="G117" s="13" t="n"/>
      <c r="H117" s="13" t="n"/>
      <c r="I117" s="13" t="n"/>
      <c r="J117" s="13" t="n"/>
      <c r="K117" s="19">
        <f>IF(AND(A117="",C117="",D117=""),"",IF(A117="","Missing the date in column A",IF(OR(C117="",D117=""),IF(I117="Bracket","OK - bracket TBD","Missing a team"),IF(C117=D117,"Same team twice",IF(AND(COUNTIF(Teams!$B$5:$B$204,C117)=0,NOT(SUMPRODUCT(--ISNUMBER(SEARCH(","&amp;C117&amp;",",","&amp;SUBSTITUTE(SUBSTITUTE(Teams!$E$5:$E$204,", ",",")," ,",",")&amp;",")))&gt;0)),"Away team not on Teams tab",IF(AND(COUNTIF(Teams!$B$5:$B$204,D117)=0,NOT(SUMPRODUCT(--ISNUMBER(SEARCH(","&amp;D117&amp;",",","&amp;SUBSTITUTE(SUBSTITUTE(Teams!$E$5:$E$204,", ",",")," ,",",")&amp;",")))&gt;0)),"Home team not on Teams tab",IF(AND(E117&lt;&gt;"",F117=""),"Only one score entered",IF(AND(F117&lt;&gt;"",E117=""),"Only one score entered","OK"))))))))</f>
        <v/>
      </c>
    </row>
    <row r="118">
      <c r="A118" s="16" t="n"/>
      <c r="B118" s="17" t="n"/>
      <c r="C118" s="12" t="n"/>
      <c r="D118" s="12" t="n"/>
      <c r="E118" s="18" t="n"/>
      <c r="F118" s="18" t="n"/>
      <c r="G118" s="13" t="n"/>
      <c r="H118" s="13" t="n"/>
      <c r="I118" s="13" t="n"/>
      <c r="J118" s="13" t="n"/>
      <c r="K118" s="19">
        <f>IF(AND(A118="",C118="",D118=""),"",IF(A118="","Missing the date in column A",IF(OR(C118="",D118=""),IF(I118="Bracket","OK - bracket TBD","Missing a team"),IF(C118=D118,"Same team twice",IF(AND(COUNTIF(Teams!$B$5:$B$204,C118)=0,NOT(SUMPRODUCT(--ISNUMBER(SEARCH(","&amp;C118&amp;",",","&amp;SUBSTITUTE(SUBSTITUTE(Teams!$E$5:$E$204,", ",",")," ,",",")&amp;",")))&gt;0)),"Away team not on Teams tab",IF(AND(COUNTIF(Teams!$B$5:$B$204,D118)=0,NOT(SUMPRODUCT(--ISNUMBER(SEARCH(","&amp;D118&amp;",",","&amp;SUBSTITUTE(SUBSTITUTE(Teams!$E$5:$E$204,", ",",")," ,",",")&amp;",")))&gt;0)),"Home team not on Teams tab",IF(AND(E118&lt;&gt;"",F118=""),"Only one score entered",IF(AND(F118&lt;&gt;"",E118=""),"Only one score entered","OK"))))))))</f>
        <v/>
      </c>
    </row>
    <row r="119">
      <c r="A119" s="16" t="n"/>
      <c r="B119" s="17" t="n"/>
      <c r="C119" s="12" t="n"/>
      <c r="D119" s="12" t="n"/>
      <c r="E119" s="18" t="n"/>
      <c r="F119" s="18" t="n"/>
      <c r="G119" s="13" t="n"/>
      <c r="H119" s="13" t="n"/>
      <c r="I119" s="13" t="n"/>
      <c r="J119" s="13" t="n"/>
      <c r="K119" s="19">
        <f>IF(AND(A119="",C119="",D119=""),"",IF(A119="","Missing the date in column A",IF(OR(C119="",D119=""),IF(I119="Bracket","OK - bracket TBD","Missing a team"),IF(C119=D119,"Same team twice",IF(AND(COUNTIF(Teams!$B$5:$B$204,C119)=0,NOT(SUMPRODUCT(--ISNUMBER(SEARCH(","&amp;C119&amp;",",","&amp;SUBSTITUTE(SUBSTITUTE(Teams!$E$5:$E$204,", ",",")," ,",",")&amp;",")))&gt;0)),"Away team not on Teams tab",IF(AND(COUNTIF(Teams!$B$5:$B$204,D119)=0,NOT(SUMPRODUCT(--ISNUMBER(SEARCH(","&amp;D119&amp;",",","&amp;SUBSTITUTE(SUBSTITUTE(Teams!$E$5:$E$204,", ",",")," ,",",")&amp;",")))&gt;0)),"Home team not on Teams tab",IF(AND(E119&lt;&gt;"",F119=""),"Only one score entered",IF(AND(F119&lt;&gt;"",E119=""),"Only one score entered","OK"))))))))</f>
        <v/>
      </c>
    </row>
    <row r="120">
      <c r="A120" s="16" t="n"/>
      <c r="B120" s="17" t="n"/>
      <c r="C120" s="12" t="n"/>
      <c r="D120" s="12" t="n"/>
      <c r="E120" s="18" t="n"/>
      <c r="F120" s="18" t="n"/>
      <c r="G120" s="13" t="n"/>
      <c r="H120" s="13" t="n"/>
      <c r="I120" s="13" t="n"/>
      <c r="J120" s="13" t="n"/>
      <c r="K120" s="19">
        <f>IF(AND(A120="",C120="",D120=""),"",IF(A120="","Missing the date in column A",IF(OR(C120="",D120=""),IF(I120="Bracket","OK - bracket TBD","Missing a team"),IF(C120=D120,"Same team twice",IF(AND(COUNTIF(Teams!$B$5:$B$204,C120)=0,NOT(SUMPRODUCT(--ISNUMBER(SEARCH(","&amp;C120&amp;",",","&amp;SUBSTITUTE(SUBSTITUTE(Teams!$E$5:$E$204,", ",",")," ,",",")&amp;",")))&gt;0)),"Away team not on Teams tab",IF(AND(COUNTIF(Teams!$B$5:$B$204,D120)=0,NOT(SUMPRODUCT(--ISNUMBER(SEARCH(","&amp;D120&amp;",",","&amp;SUBSTITUTE(SUBSTITUTE(Teams!$E$5:$E$204,", ",",")," ,",",")&amp;",")))&gt;0)),"Home team not on Teams tab",IF(AND(E120&lt;&gt;"",F120=""),"Only one score entered",IF(AND(F120&lt;&gt;"",E120=""),"Only one score entered","OK"))))))))</f>
        <v/>
      </c>
    </row>
    <row r="121">
      <c r="A121" s="16" t="n"/>
      <c r="B121" s="17" t="n"/>
      <c r="C121" s="12" t="n"/>
      <c r="D121" s="12" t="n"/>
      <c r="E121" s="18" t="n"/>
      <c r="F121" s="18" t="n"/>
      <c r="G121" s="13" t="n"/>
      <c r="H121" s="13" t="n"/>
      <c r="I121" s="13" t="n"/>
      <c r="J121" s="13" t="n"/>
      <c r="K121" s="19">
        <f>IF(AND(A121="",C121="",D121=""),"",IF(A121="","Missing the date in column A",IF(OR(C121="",D121=""),IF(I121="Bracket","OK - bracket TBD","Missing a team"),IF(C121=D121,"Same team twice",IF(AND(COUNTIF(Teams!$B$5:$B$204,C121)=0,NOT(SUMPRODUCT(--ISNUMBER(SEARCH(","&amp;C121&amp;",",","&amp;SUBSTITUTE(SUBSTITUTE(Teams!$E$5:$E$204,", ",",")," ,",",")&amp;",")))&gt;0)),"Away team not on Teams tab",IF(AND(COUNTIF(Teams!$B$5:$B$204,D121)=0,NOT(SUMPRODUCT(--ISNUMBER(SEARCH(","&amp;D121&amp;",",","&amp;SUBSTITUTE(SUBSTITUTE(Teams!$E$5:$E$204,", ",",")," ,",",")&amp;",")))&gt;0)),"Home team not on Teams tab",IF(AND(E121&lt;&gt;"",F121=""),"Only one score entered",IF(AND(F121&lt;&gt;"",E121=""),"Only one score entered","OK"))))))))</f>
        <v/>
      </c>
    </row>
    <row r="122">
      <c r="A122" s="16" t="n"/>
      <c r="B122" s="17" t="n"/>
      <c r="C122" s="12" t="n"/>
      <c r="D122" s="12" t="n"/>
      <c r="E122" s="18" t="n"/>
      <c r="F122" s="18" t="n"/>
      <c r="G122" s="13" t="n"/>
      <c r="H122" s="13" t="n"/>
      <c r="I122" s="13" t="n"/>
      <c r="J122" s="13" t="n"/>
      <c r="K122" s="19">
        <f>IF(AND(A122="",C122="",D122=""),"",IF(A122="","Missing the date in column A",IF(OR(C122="",D122=""),IF(I122="Bracket","OK - bracket TBD","Missing a team"),IF(C122=D122,"Same team twice",IF(AND(COUNTIF(Teams!$B$5:$B$204,C122)=0,NOT(SUMPRODUCT(--ISNUMBER(SEARCH(","&amp;C122&amp;",",","&amp;SUBSTITUTE(SUBSTITUTE(Teams!$E$5:$E$204,", ",",")," ,",",")&amp;",")))&gt;0)),"Away team not on Teams tab",IF(AND(COUNTIF(Teams!$B$5:$B$204,D122)=0,NOT(SUMPRODUCT(--ISNUMBER(SEARCH(","&amp;D122&amp;",",","&amp;SUBSTITUTE(SUBSTITUTE(Teams!$E$5:$E$204,", ",",")," ,",",")&amp;",")))&gt;0)),"Home team not on Teams tab",IF(AND(E122&lt;&gt;"",F122=""),"Only one score entered",IF(AND(F122&lt;&gt;"",E122=""),"Only one score entered","OK"))))))))</f>
        <v/>
      </c>
    </row>
    <row r="123">
      <c r="A123" s="16" t="n"/>
      <c r="B123" s="17" t="n"/>
      <c r="C123" s="12" t="n"/>
      <c r="D123" s="12" t="n"/>
      <c r="E123" s="18" t="n"/>
      <c r="F123" s="18" t="n"/>
      <c r="G123" s="13" t="n"/>
      <c r="H123" s="13" t="n"/>
      <c r="I123" s="13" t="n"/>
      <c r="J123" s="13" t="n"/>
      <c r="K123" s="19">
        <f>IF(AND(A123="",C123="",D123=""),"",IF(A123="","Missing the date in column A",IF(OR(C123="",D123=""),IF(I123="Bracket","OK - bracket TBD","Missing a team"),IF(C123=D123,"Same team twice",IF(AND(COUNTIF(Teams!$B$5:$B$204,C123)=0,NOT(SUMPRODUCT(--ISNUMBER(SEARCH(","&amp;C123&amp;",",","&amp;SUBSTITUTE(SUBSTITUTE(Teams!$E$5:$E$204,", ",",")," ,",",")&amp;",")))&gt;0)),"Away team not on Teams tab",IF(AND(COUNTIF(Teams!$B$5:$B$204,D123)=0,NOT(SUMPRODUCT(--ISNUMBER(SEARCH(","&amp;D123&amp;",",","&amp;SUBSTITUTE(SUBSTITUTE(Teams!$E$5:$E$204,", ",",")," ,",",")&amp;",")))&gt;0)),"Home team not on Teams tab",IF(AND(E123&lt;&gt;"",F123=""),"Only one score entered",IF(AND(F123&lt;&gt;"",E123=""),"Only one score entered","OK"))))))))</f>
        <v/>
      </c>
    </row>
    <row r="124">
      <c r="A124" s="16" t="n"/>
      <c r="B124" s="17" t="n"/>
      <c r="C124" s="12" t="n"/>
      <c r="D124" s="12" t="n"/>
      <c r="E124" s="18" t="n"/>
      <c r="F124" s="18" t="n"/>
      <c r="G124" s="13" t="n"/>
      <c r="H124" s="13" t="n"/>
      <c r="I124" s="13" t="n"/>
      <c r="J124" s="13" t="n"/>
      <c r="K124" s="19">
        <f>IF(AND(A124="",C124="",D124=""),"",IF(A124="","Missing the date in column A",IF(OR(C124="",D124=""),IF(I124="Bracket","OK - bracket TBD","Missing a team"),IF(C124=D124,"Same team twice",IF(AND(COUNTIF(Teams!$B$5:$B$204,C124)=0,NOT(SUMPRODUCT(--ISNUMBER(SEARCH(","&amp;C124&amp;",",","&amp;SUBSTITUTE(SUBSTITUTE(Teams!$E$5:$E$204,", ",",")," ,",",")&amp;",")))&gt;0)),"Away team not on Teams tab",IF(AND(COUNTIF(Teams!$B$5:$B$204,D124)=0,NOT(SUMPRODUCT(--ISNUMBER(SEARCH(","&amp;D124&amp;",",","&amp;SUBSTITUTE(SUBSTITUTE(Teams!$E$5:$E$204,", ",",")," ,",",")&amp;",")))&gt;0)),"Home team not on Teams tab",IF(AND(E124&lt;&gt;"",F124=""),"Only one score entered",IF(AND(F124&lt;&gt;"",E124=""),"Only one score entered","OK"))))))))</f>
        <v/>
      </c>
    </row>
    <row r="125">
      <c r="A125" s="16" t="n"/>
      <c r="B125" s="17" t="n"/>
      <c r="C125" s="12" t="n"/>
      <c r="D125" s="12" t="n"/>
      <c r="E125" s="18" t="n"/>
      <c r="F125" s="18" t="n"/>
      <c r="G125" s="13" t="n"/>
      <c r="H125" s="13" t="n"/>
      <c r="I125" s="13" t="n"/>
      <c r="J125" s="13" t="n"/>
      <c r="K125" s="19">
        <f>IF(AND(A125="",C125="",D125=""),"",IF(A125="","Missing the date in column A",IF(OR(C125="",D125=""),IF(I125="Bracket","OK - bracket TBD","Missing a team"),IF(C125=D125,"Same team twice",IF(AND(COUNTIF(Teams!$B$5:$B$204,C125)=0,NOT(SUMPRODUCT(--ISNUMBER(SEARCH(","&amp;C125&amp;",",","&amp;SUBSTITUTE(SUBSTITUTE(Teams!$E$5:$E$204,", ",",")," ,",",")&amp;",")))&gt;0)),"Away team not on Teams tab",IF(AND(COUNTIF(Teams!$B$5:$B$204,D125)=0,NOT(SUMPRODUCT(--ISNUMBER(SEARCH(","&amp;D125&amp;",",","&amp;SUBSTITUTE(SUBSTITUTE(Teams!$E$5:$E$204,", ",",")," ,",",")&amp;",")))&gt;0)),"Home team not on Teams tab",IF(AND(E125&lt;&gt;"",F125=""),"Only one score entered",IF(AND(F125&lt;&gt;"",E125=""),"Only one score entered","OK"))))))))</f>
        <v/>
      </c>
    </row>
    <row r="126">
      <c r="A126" s="16" t="n"/>
      <c r="B126" s="17" t="n"/>
      <c r="C126" s="12" t="n"/>
      <c r="D126" s="12" t="n"/>
      <c r="E126" s="18" t="n"/>
      <c r="F126" s="18" t="n"/>
      <c r="G126" s="13" t="n"/>
      <c r="H126" s="13" t="n"/>
      <c r="I126" s="13" t="n"/>
      <c r="J126" s="13" t="n"/>
      <c r="K126" s="19">
        <f>IF(AND(A126="",C126="",D126=""),"",IF(A126="","Missing the date in column A",IF(OR(C126="",D126=""),IF(I126="Bracket","OK - bracket TBD","Missing a team"),IF(C126=D126,"Same team twice",IF(AND(COUNTIF(Teams!$B$5:$B$204,C126)=0,NOT(SUMPRODUCT(--ISNUMBER(SEARCH(","&amp;C126&amp;",",","&amp;SUBSTITUTE(SUBSTITUTE(Teams!$E$5:$E$204,", ",",")," ,",",")&amp;",")))&gt;0)),"Away team not on Teams tab",IF(AND(COUNTIF(Teams!$B$5:$B$204,D126)=0,NOT(SUMPRODUCT(--ISNUMBER(SEARCH(","&amp;D126&amp;",",","&amp;SUBSTITUTE(SUBSTITUTE(Teams!$E$5:$E$204,", ",",")," ,",",")&amp;",")))&gt;0)),"Home team not on Teams tab",IF(AND(E126&lt;&gt;"",F126=""),"Only one score entered",IF(AND(F126&lt;&gt;"",E126=""),"Only one score entered","OK"))))))))</f>
        <v/>
      </c>
    </row>
    <row r="127">
      <c r="A127" s="16" t="n"/>
      <c r="B127" s="17" t="n"/>
      <c r="C127" s="12" t="n"/>
      <c r="D127" s="12" t="n"/>
      <c r="E127" s="18" t="n"/>
      <c r="F127" s="18" t="n"/>
      <c r="G127" s="13" t="n"/>
      <c r="H127" s="13" t="n"/>
      <c r="I127" s="13" t="n"/>
      <c r="J127" s="13" t="n"/>
      <c r="K127" s="19">
        <f>IF(AND(A127="",C127="",D127=""),"",IF(A127="","Missing the date in column A",IF(OR(C127="",D127=""),IF(I127="Bracket","OK - bracket TBD","Missing a team"),IF(C127=D127,"Same team twice",IF(AND(COUNTIF(Teams!$B$5:$B$204,C127)=0,NOT(SUMPRODUCT(--ISNUMBER(SEARCH(","&amp;C127&amp;",",","&amp;SUBSTITUTE(SUBSTITUTE(Teams!$E$5:$E$204,", ",",")," ,",",")&amp;",")))&gt;0)),"Away team not on Teams tab",IF(AND(COUNTIF(Teams!$B$5:$B$204,D127)=0,NOT(SUMPRODUCT(--ISNUMBER(SEARCH(","&amp;D127&amp;",",","&amp;SUBSTITUTE(SUBSTITUTE(Teams!$E$5:$E$204,", ",",")," ,",",")&amp;",")))&gt;0)),"Home team not on Teams tab",IF(AND(E127&lt;&gt;"",F127=""),"Only one score entered",IF(AND(F127&lt;&gt;"",E127=""),"Only one score entered","OK"))))))))</f>
        <v/>
      </c>
    </row>
    <row r="128">
      <c r="A128" s="16" t="n"/>
      <c r="B128" s="17" t="n"/>
      <c r="C128" s="12" t="n"/>
      <c r="D128" s="12" t="n"/>
      <c r="E128" s="18" t="n"/>
      <c r="F128" s="18" t="n"/>
      <c r="G128" s="13" t="n"/>
      <c r="H128" s="13" t="n"/>
      <c r="I128" s="13" t="n"/>
      <c r="J128" s="13" t="n"/>
      <c r="K128" s="19">
        <f>IF(AND(A128="",C128="",D128=""),"",IF(A128="","Missing the date in column A",IF(OR(C128="",D128=""),IF(I128="Bracket","OK - bracket TBD","Missing a team"),IF(C128=D128,"Same team twice",IF(AND(COUNTIF(Teams!$B$5:$B$204,C128)=0,NOT(SUMPRODUCT(--ISNUMBER(SEARCH(","&amp;C128&amp;",",","&amp;SUBSTITUTE(SUBSTITUTE(Teams!$E$5:$E$204,", ",",")," ,",",")&amp;",")))&gt;0)),"Away team not on Teams tab",IF(AND(COUNTIF(Teams!$B$5:$B$204,D128)=0,NOT(SUMPRODUCT(--ISNUMBER(SEARCH(","&amp;D128&amp;",",","&amp;SUBSTITUTE(SUBSTITUTE(Teams!$E$5:$E$204,", ",",")," ,",",")&amp;",")))&gt;0)),"Home team not on Teams tab",IF(AND(E128&lt;&gt;"",F128=""),"Only one score entered",IF(AND(F128&lt;&gt;"",E128=""),"Only one score entered","OK"))))))))</f>
        <v/>
      </c>
    </row>
    <row r="129">
      <c r="A129" s="16" t="n"/>
      <c r="B129" s="17" t="n"/>
      <c r="C129" s="12" t="n"/>
      <c r="D129" s="12" t="n"/>
      <c r="E129" s="18" t="n"/>
      <c r="F129" s="18" t="n"/>
      <c r="G129" s="13" t="n"/>
      <c r="H129" s="13" t="n"/>
      <c r="I129" s="13" t="n"/>
      <c r="J129" s="13" t="n"/>
      <c r="K129" s="19">
        <f>IF(AND(A129="",C129="",D129=""),"",IF(A129="","Missing the date in column A",IF(OR(C129="",D129=""),IF(I129="Bracket","OK - bracket TBD","Missing a team"),IF(C129=D129,"Same team twice",IF(AND(COUNTIF(Teams!$B$5:$B$204,C129)=0,NOT(SUMPRODUCT(--ISNUMBER(SEARCH(","&amp;C129&amp;",",","&amp;SUBSTITUTE(SUBSTITUTE(Teams!$E$5:$E$204,", ",",")," ,",",")&amp;",")))&gt;0)),"Away team not on Teams tab",IF(AND(COUNTIF(Teams!$B$5:$B$204,D129)=0,NOT(SUMPRODUCT(--ISNUMBER(SEARCH(","&amp;D129&amp;",",","&amp;SUBSTITUTE(SUBSTITUTE(Teams!$E$5:$E$204,", ",",")," ,",",")&amp;",")))&gt;0)),"Home team not on Teams tab",IF(AND(E129&lt;&gt;"",F129=""),"Only one score entered",IF(AND(F129&lt;&gt;"",E129=""),"Only one score entered","OK"))))))))</f>
        <v/>
      </c>
    </row>
    <row r="130">
      <c r="A130" s="16" t="n"/>
      <c r="B130" s="17" t="n"/>
      <c r="C130" s="12" t="n"/>
      <c r="D130" s="12" t="n"/>
      <c r="E130" s="18" t="n"/>
      <c r="F130" s="18" t="n"/>
      <c r="G130" s="13" t="n"/>
      <c r="H130" s="13" t="n"/>
      <c r="I130" s="13" t="n"/>
      <c r="J130" s="13" t="n"/>
      <c r="K130" s="19">
        <f>IF(AND(A130="",C130="",D130=""),"",IF(A130="","Missing the date in column A",IF(OR(C130="",D130=""),IF(I130="Bracket","OK - bracket TBD","Missing a team"),IF(C130=D130,"Same team twice",IF(AND(COUNTIF(Teams!$B$5:$B$204,C130)=0,NOT(SUMPRODUCT(--ISNUMBER(SEARCH(","&amp;C130&amp;",",","&amp;SUBSTITUTE(SUBSTITUTE(Teams!$E$5:$E$204,", ",",")," ,",",")&amp;",")))&gt;0)),"Away team not on Teams tab",IF(AND(COUNTIF(Teams!$B$5:$B$204,D130)=0,NOT(SUMPRODUCT(--ISNUMBER(SEARCH(","&amp;D130&amp;",",","&amp;SUBSTITUTE(SUBSTITUTE(Teams!$E$5:$E$204,", ",",")," ,",",")&amp;",")))&gt;0)),"Home team not on Teams tab",IF(AND(E130&lt;&gt;"",F130=""),"Only one score entered",IF(AND(F130&lt;&gt;"",E130=""),"Only one score entered","OK"))))))))</f>
        <v/>
      </c>
    </row>
    <row r="131">
      <c r="A131" s="16" t="n"/>
      <c r="B131" s="17" t="n"/>
      <c r="C131" s="12" t="n"/>
      <c r="D131" s="12" t="n"/>
      <c r="E131" s="18" t="n"/>
      <c r="F131" s="18" t="n"/>
      <c r="G131" s="13" t="n"/>
      <c r="H131" s="13" t="n"/>
      <c r="I131" s="13" t="n"/>
      <c r="J131" s="13" t="n"/>
      <c r="K131" s="19">
        <f>IF(AND(A131="",C131="",D131=""),"",IF(A131="","Missing the date in column A",IF(OR(C131="",D131=""),IF(I131="Bracket","OK - bracket TBD","Missing a team"),IF(C131=D131,"Same team twice",IF(AND(COUNTIF(Teams!$B$5:$B$204,C131)=0,NOT(SUMPRODUCT(--ISNUMBER(SEARCH(","&amp;C131&amp;",",","&amp;SUBSTITUTE(SUBSTITUTE(Teams!$E$5:$E$204,", ",",")," ,",",")&amp;",")))&gt;0)),"Away team not on Teams tab",IF(AND(COUNTIF(Teams!$B$5:$B$204,D131)=0,NOT(SUMPRODUCT(--ISNUMBER(SEARCH(","&amp;D131&amp;",",","&amp;SUBSTITUTE(SUBSTITUTE(Teams!$E$5:$E$204,", ",",")," ,",",")&amp;",")))&gt;0)),"Home team not on Teams tab",IF(AND(E131&lt;&gt;"",F131=""),"Only one score entered",IF(AND(F131&lt;&gt;"",E131=""),"Only one score entered","OK"))))))))</f>
        <v/>
      </c>
    </row>
    <row r="132">
      <c r="A132" s="16" t="n"/>
      <c r="B132" s="17" t="n"/>
      <c r="C132" s="12" t="n"/>
      <c r="D132" s="12" t="n"/>
      <c r="E132" s="18" t="n"/>
      <c r="F132" s="18" t="n"/>
      <c r="G132" s="13" t="n"/>
      <c r="H132" s="13" t="n"/>
      <c r="I132" s="13" t="n"/>
      <c r="J132" s="13" t="n"/>
      <c r="K132" s="19">
        <f>IF(AND(A132="",C132="",D132=""),"",IF(A132="","Missing the date in column A",IF(OR(C132="",D132=""),IF(I132="Bracket","OK - bracket TBD","Missing a team"),IF(C132=D132,"Same team twice",IF(AND(COUNTIF(Teams!$B$5:$B$204,C132)=0,NOT(SUMPRODUCT(--ISNUMBER(SEARCH(","&amp;C132&amp;",",","&amp;SUBSTITUTE(SUBSTITUTE(Teams!$E$5:$E$204,", ",",")," ,",",")&amp;",")))&gt;0)),"Away team not on Teams tab",IF(AND(COUNTIF(Teams!$B$5:$B$204,D132)=0,NOT(SUMPRODUCT(--ISNUMBER(SEARCH(","&amp;D132&amp;",",","&amp;SUBSTITUTE(SUBSTITUTE(Teams!$E$5:$E$204,", ",",")," ,",",")&amp;",")))&gt;0)),"Home team not on Teams tab",IF(AND(E132&lt;&gt;"",F132=""),"Only one score entered",IF(AND(F132&lt;&gt;"",E132=""),"Only one score entered","OK"))))))))</f>
        <v/>
      </c>
    </row>
    <row r="133">
      <c r="A133" s="16" t="n"/>
      <c r="B133" s="17" t="n"/>
      <c r="C133" s="12" t="n"/>
      <c r="D133" s="12" t="n"/>
      <c r="E133" s="18" t="n"/>
      <c r="F133" s="18" t="n"/>
      <c r="G133" s="13" t="n"/>
      <c r="H133" s="13" t="n"/>
      <c r="I133" s="13" t="n"/>
      <c r="J133" s="13" t="n"/>
      <c r="K133" s="19">
        <f>IF(AND(A133="",C133="",D133=""),"",IF(A133="","Missing the date in column A",IF(OR(C133="",D133=""),IF(I133="Bracket","OK - bracket TBD","Missing a team"),IF(C133=D133,"Same team twice",IF(AND(COUNTIF(Teams!$B$5:$B$204,C133)=0,NOT(SUMPRODUCT(--ISNUMBER(SEARCH(","&amp;C133&amp;",",","&amp;SUBSTITUTE(SUBSTITUTE(Teams!$E$5:$E$204,", ",",")," ,",",")&amp;",")))&gt;0)),"Away team not on Teams tab",IF(AND(COUNTIF(Teams!$B$5:$B$204,D133)=0,NOT(SUMPRODUCT(--ISNUMBER(SEARCH(","&amp;D133&amp;",",","&amp;SUBSTITUTE(SUBSTITUTE(Teams!$E$5:$E$204,", ",",")," ,",",")&amp;",")))&gt;0)),"Home team not on Teams tab",IF(AND(E133&lt;&gt;"",F133=""),"Only one score entered",IF(AND(F133&lt;&gt;"",E133=""),"Only one score entered","OK"))))))))</f>
        <v/>
      </c>
    </row>
    <row r="134">
      <c r="A134" s="16" t="n"/>
      <c r="B134" s="17" t="n"/>
      <c r="C134" s="12" t="n"/>
      <c r="D134" s="12" t="n"/>
      <c r="E134" s="18" t="n"/>
      <c r="F134" s="18" t="n"/>
      <c r="G134" s="13" t="n"/>
      <c r="H134" s="13" t="n"/>
      <c r="I134" s="13" t="n"/>
      <c r="J134" s="13" t="n"/>
      <c r="K134" s="19">
        <f>IF(AND(A134="",C134="",D134=""),"",IF(A134="","Missing the date in column A",IF(OR(C134="",D134=""),IF(I134="Bracket","OK - bracket TBD","Missing a team"),IF(C134=D134,"Same team twice",IF(AND(COUNTIF(Teams!$B$5:$B$204,C134)=0,NOT(SUMPRODUCT(--ISNUMBER(SEARCH(","&amp;C134&amp;",",","&amp;SUBSTITUTE(SUBSTITUTE(Teams!$E$5:$E$204,", ",",")," ,",",")&amp;",")))&gt;0)),"Away team not on Teams tab",IF(AND(COUNTIF(Teams!$B$5:$B$204,D134)=0,NOT(SUMPRODUCT(--ISNUMBER(SEARCH(","&amp;D134&amp;",",","&amp;SUBSTITUTE(SUBSTITUTE(Teams!$E$5:$E$204,", ",",")," ,",",")&amp;",")))&gt;0)),"Home team not on Teams tab",IF(AND(E134&lt;&gt;"",F134=""),"Only one score entered",IF(AND(F134&lt;&gt;"",E134=""),"Only one score entered","OK"))))))))</f>
        <v/>
      </c>
    </row>
    <row r="135">
      <c r="A135" s="16" t="n"/>
      <c r="B135" s="17" t="n"/>
      <c r="C135" s="12" t="n"/>
      <c r="D135" s="12" t="n"/>
      <c r="E135" s="18" t="n"/>
      <c r="F135" s="18" t="n"/>
      <c r="G135" s="13" t="n"/>
      <c r="H135" s="13" t="n"/>
      <c r="I135" s="13" t="n"/>
      <c r="J135" s="13" t="n"/>
      <c r="K135" s="19">
        <f>IF(AND(A135="",C135="",D135=""),"",IF(A135="","Missing the date in column A",IF(OR(C135="",D135=""),IF(I135="Bracket","OK - bracket TBD","Missing a team"),IF(C135=D135,"Same team twice",IF(AND(COUNTIF(Teams!$B$5:$B$204,C135)=0,NOT(SUMPRODUCT(--ISNUMBER(SEARCH(","&amp;C135&amp;",",","&amp;SUBSTITUTE(SUBSTITUTE(Teams!$E$5:$E$204,", ",",")," ,",",")&amp;",")))&gt;0)),"Away team not on Teams tab",IF(AND(COUNTIF(Teams!$B$5:$B$204,D135)=0,NOT(SUMPRODUCT(--ISNUMBER(SEARCH(","&amp;D135&amp;",",","&amp;SUBSTITUTE(SUBSTITUTE(Teams!$E$5:$E$204,", ",",")," ,",",")&amp;",")))&gt;0)),"Home team not on Teams tab",IF(AND(E135&lt;&gt;"",F135=""),"Only one score entered",IF(AND(F135&lt;&gt;"",E135=""),"Only one score entered","OK"))))))))</f>
        <v/>
      </c>
    </row>
    <row r="136">
      <c r="A136" s="16" t="n"/>
      <c r="B136" s="17" t="n"/>
      <c r="C136" s="12" t="n"/>
      <c r="D136" s="12" t="n"/>
      <c r="E136" s="18" t="n"/>
      <c r="F136" s="18" t="n"/>
      <c r="G136" s="13" t="n"/>
      <c r="H136" s="13" t="n"/>
      <c r="I136" s="13" t="n"/>
      <c r="J136" s="13" t="n"/>
      <c r="K136" s="19">
        <f>IF(AND(A136="",C136="",D136=""),"",IF(A136="","Missing the date in column A",IF(OR(C136="",D136=""),IF(I136="Bracket","OK - bracket TBD","Missing a team"),IF(C136=D136,"Same team twice",IF(AND(COUNTIF(Teams!$B$5:$B$204,C136)=0,NOT(SUMPRODUCT(--ISNUMBER(SEARCH(","&amp;C136&amp;",",","&amp;SUBSTITUTE(SUBSTITUTE(Teams!$E$5:$E$204,", ",",")," ,",",")&amp;",")))&gt;0)),"Away team not on Teams tab",IF(AND(COUNTIF(Teams!$B$5:$B$204,D136)=0,NOT(SUMPRODUCT(--ISNUMBER(SEARCH(","&amp;D136&amp;",",","&amp;SUBSTITUTE(SUBSTITUTE(Teams!$E$5:$E$204,", ",",")," ,",",")&amp;",")))&gt;0)),"Home team not on Teams tab",IF(AND(E136&lt;&gt;"",F136=""),"Only one score entered",IF(AND(F136&lt;&gt;"",E136=""),"Only one score entered","OK"))))))))</f>
        <v/>
      </c>
    </row>
    <row r="137">
      <c r="A137" s="16" t="n"/>
      <c r="B137" s="17" t="n"/>
      <c r="C137" s="12" t="n"/>
      <c r="D137" s="12" t="n"/>
      <c r="E137" s="18" t="n"/>
      <c r="F137" s="18" t="n"/>
      <c r="G137" s="13" t="n"/>
      <c r="H137" s="13" t="n"/>
      <c r="I137" s="13" t="n"/>
      <c r="J137" s="13" t="n"/>
      <c r="K137" s="19">
        <f>IF(AND(A137="",C137="",D137=""),"",IF(A137="","Missing the date in column A",IF(OR(C137="",D137=""),IF(I137="Bracket","OK - bracket TBD","Missing a team"),IF(C137=D137,"Same team twice",IF(AND(COUNTIF(Teams!$B$5:$B$204,C137)=0,NOT(SUMPRODUCT(--ISNUMBER(SEARCH(","&amp;C137&amp;",",","&amp;SUBSTITUTE(SUBSTITUTE(Teams!$E$5:$E$204,", ",",")," ,",",")&amp;",")))&gt;0)),"Away team not on Teams tab",IF(AND(COUNTIF(Teams!$B$5:$B$204,D137)=0,NOT(SUMPRODUCT(--ISNUMBER(SEARCH(","&amp;D137&amp;",",","&amp;SUBSTITUTE(SUBSTITUTE(Teams!$E$5:$E$204,", ",",")," ,",",")&amp;",")))&gt;0)),"Home team not on Teams tab",IF(AND(E137&lt;&gt;"",F137=""),"Only one score entered",IF(AND(F137&lt;&gt;"",E137=""),"Only one score entered","OK"))))))))</f>
        <v/>
      </c>
    </row>
    <row r="138">
      <c r="A138" s="16" t="n"/>
      <c r="B138" s="17" t="n"/>
      <c r="C138" s="12" t="n"/>
      <c r="D138" s="12" t="n"/>
      <c r="E138" s="18" t="n"/>
      <c r="F138" s="18" t="n"/>
      <c r="G138" s="13" t="n"/>
      <c r="H138" s="13" t="n"/>
      <c r="I138" s="13" t="n"/>
      <c r="J138" s="13" t="n"/>
      <c r="K138" s="19">
        <f>IF(AND(A138="",C138="",D138=""),"",IF(A138="","Missing the date in column A",IF(OR(C138="",D138=""),IF(I138="Bracket","OK - bracket TBD","Missing a team"),IF(C138=D138,"Same team twice",IF(AND(COUNTIF(Teams!$B$5:$B$204,C138)=0,NOT(SUMPRODUCT(--ISNUMBER(SEARCH(","&amp;C138&amp;",",","&amp;SUBSTITUTE(SUBSTITUTE(Teams!$E$5:$E$204,", ",",")," ,",",")&amp;",")))&gt;0)),"Away team not on Teams tab",IF(AND(COUNTIF(Teams!$B$5:$B$204,D138)=0,NOT(SUMPRODUCT(--ISNUMBER(SEARCH(","&amp;D138&amp;",",","&amp;SUBSTITUTE(SUBSTITUTE(Teams!$E$5:$E$204,", ",",")," ,",",")&amp;",")))&gt;0)),"Home team not on Teams tab",IF(AND(E138&lt;&gt;"",F138=""),"Only one score entered",IF(AND(F138&lt;&gt;"",E138=""),"Only one score entered","OK"))))))))</f>
        <v/>
      </c>
    </row>
    <row r="139">
      <c r="A139" s="16" t="n"/>
      <c r="B139" s="17" t="n"/>
      <c r="C139" s="12" t="n"/>
      <c r="D139" s="12" t="n"/>
      <c r="E139" s="18" t="n"/>
      <c r="F139" s="18" t="n"/>
      <c r="G139" s="13" t="n"/>
      <c r="H139" s="13" t="n"/>
      <c r="I139" s="13" t="n"/>
      <c r="J139" s="13" t="n"/>
      <c r="K139" s="19">
        <f>IF(AND(A139="",C139="",D139=""),"",IF(A139="","Missing the date in column A",IF(OR(C139="",D139=""),IF(I139="Bracket","OK - bracket TBD","Missing a team"),IF(C139=D139,"Same team twice",IF(AND(COUNTIF(Teams!$B$5:$B$204,C139)=0,NOT(SUMPRODUCT(--ISNUMBER(SEARCH(","&amp;C139&amp;",",","&amp;SUBSTITUTE(SUBSTITUTE(Teams!$E$5:$E$204,", ",",")," ,",",")&amp;",")))&gt;0)),"Away team not on Teams tab",IF(AND(COUNTIF(Teams!$B$5:$B$204,D139)=0,NOT(SUMPRODUCT(--ISNUMBER(SEARCH(","&amp;D139&amp;",",","&amp;SUBSTITUTE(SUBSTITUTE(Teams!$E$5:$E$204,", ",",")," ,",",")&amp;",")))&gt;0)),"Home team not on Teams tab",IF(AND(E139&lt;&gt;"",F139=""),"Only one score entered",IF(AND(F139&lt;&gt;"",E139=""),"Only one score entered","OK"))))))))</f>
        <v/>
      </c>
    </row>
    <row r="140">
      <c r="A140" s="16" t="n"/>
      <c r="B140" s="17" t="n"/>
      <c r="C140" s="12" t="n"/>
      <c r="D140" s="12" t="n"/>
      <c r="E140" s="18" t="n"/>
      <c r="F140" s="18" t="n"/>
      <c r="G140" s="13" t="n"/>
      <c r="H140" s="13" t="n"/>
      <c r="I140" s="13" t="n"/>
      <c r="J140" s="13" t="n"/>
      <c r="K140" s="19">
        <f>IF(AND(A140="",C140="",D140=""),"",IF(A140="","Missing the date in column A",IF(OR(C140="",D140=""),IF(I140="Bracket","OK - bracket TBD","Missing a team"),IF(C140=D140,"Same team twice",IF(AND(COUNTIF(Teams!$B$5:$B$204,C140)=0,NOT(SUMPRODUCT(--ISNUMBER(SEARCH(","&amp;C140&amp;",",","&amp;SUBSTITUTE(SUBSTITUTE(Teams!$E$5:$E$204,", ",",")," ,",",")&amp;",")))&gt;0)),"Away team not on Teams tab",IF(AND(COUNTIF(Teams!$B$5:$B$204,D140)=0,NOT(SUMPRODUCT(--ISNUMBER(SEARCH(","&amp;D140&amp;",",","&amp;SUBSTITUTE(SUBSTITUTE(Teams!$E$5:$E$204,", ",",")," ,",",")&amp;",")))&gt;0)),"Home team not on Teams tab",IF(AND(E140&lt;&gt;"",F140=""),"Only one score entered",IF(AND(F140&lt;&gt;"",E140=""),"Only one score entered","OK"))))))))</f>
        <v/>
      </c>
    </row>
    <row r="141">
      <c r="A141" s="16" t="n"/>
      <c r="B141" s="17" t="n"/>
      <c r="C141" s="12" t="n"/>
      <c r="D141" s="12" t="n"/>
      <c r="E141" s="18" t="n"/>
      <c r="F141" s="18" t="n"/>
      <c r="G141" s="13" t="n"/>
      <c r="H141" s="13" t="n"/>
      <c r="I141" s="13" t="n"/>
      <c r="J141" s="13" t="n"/>
      <c r="K141" s="19">
        <f>IF(AND(A141="",C141="",D141=""),"",IF(A141="","Missing the date in column A",IF(OR(C141="",D141=""),IF(I141="Bracket","OK - bracket TBD","Missing a team"),IF(C141=D141,"Same team twice",IF(AND(COUNTIF(Teams!$B$5:$B$204,C141)=0,NOT(SUMPRODUCT(--ISNUMBER(SEARCH(","&amp;C141&amp;",",","&amp;SUBSTITUTE(SUBSTITUTE(Teams!$E$5:$E$204,", ",",")," ,",",")&amp;",")))&gt;0)),"Away team not on Teams tab",IF(AND(COUNTIF(Teams!$B$5:$B$204,D141)=0,NOT(SUMPRODUCT(--ISNUMBER(SEARCH(","&amp;D141&amp;",",","&amp;SUBSTITUTE(SUBSTITUTE(Teams!$E$5:$E$204,", ",",")," ,",",")&amp;",")))&gt;0)),"Home team not on Teams tab",IF(AND(E141&lt;&gt;"",F141=""),"Only one score entered",IF(AND(F141&lt;&gt;"",E141=""),"Only one score entered","OK"))))))))</f>
        <v/>
      </c>
    </row>
    <row r="142">
      <c r="A142" s="16" t="n"/>
      <c r="B142" s="17" t="n"/>
      <c r="C142" s="12" t="n"/>
      <c r="D142" s="12" t="n"/>
      <c r="E142" s="18" t="n"/>
      <c r="F142" s="18" t="n"/>
      <c r="G142" s="13" t="n"/>
      <c r="H142" s="13" t="n"/>
      <c r="I142" s="13" t="n"/>
      <c r="J142" s="13" t="n"/>
      <c r="K142" s="19">
        <f>IF(AND(A142="",C142="",D142=""),"",IF(A142="","Missing the date in column A",IF(OR(C142="",D142=""),IF(I142="Bracket","OK - bracket TBD","Missing a team"),IF(C142=D142,"Same team twice",IF(AND(COUNTIF(Teams!$B$5:$B$204,C142)=0,NOT(SUMPRODUCT(--ISNUMBER(SEARCH(","&amp;C142&amp;",",","&amp;SUBSTITUTE(SUBSTITUTE(Teams!$E$5:$E$204,", ",",")," ,",",")&amp;",")))&gt;0)),"Away team not on Teams tab",IF(AND(COUNTIF(Teams!$B$5:$B$204,D142)=0,NOT(SUMPRODUCT(--ISNUMBER(SEARCH(","&amp;D142&amp;",",","&amp;SUBSTITUTE(SUBSTITUTE(Teams!$E$5:$E$204,", ",",")," ,",",")&amp;",")))&gt;0)),"Home team not on Teams tab",IF(AND(E142&lt;&gt;"",F142=""),"Only one score entered",IF(AND(F142&lt;&gt;"",E142=""),"Only one score entered","OK"))))))))</f>
        <v/>
      </c>
    </row>
    <row r="143">
      <c r="A143" s="16" t="n"/>
      <c r="B143" s="17" t="n"/>
      <c r="C143" s="12" t="n"/>
      <c r="D143" s="12" t="n"/>
      <c r="E143" s="18" t="n"/>
      <c r="F143" s="18" t="n"/>
      <c r="G143" s="13" t="n"/>
      <c r="H143" s="13" t="n"/>
      <c r="I143" s="13" t="n"/>
      <c r="J143" s="13" t="n"/>
      <c r="K143" s="19">
        <f>IF(AND(A143="",C143="",D143=""),"",IF(A143="","Missing the date in column A",IF(OR(C143="",D143=""),IF(I143="Bracket","OK - bracket TBD","Missing a team"),IF(C143=D143,"Same team twice",IF(AND(COUNTIF(Teams!$B$5:$B$204,C143)=0,NOT(SUMPRODUCT(--ISNUMBER(SEARCH(","&amp;C143&amp;",",","&amp;SUBSTITUTE(SUBSTITUTE(Teams!$E$5:$E$204,", ",",")," ,",",")&amp;",")))&gt;0)),"Away team not on Teams tab",IF(AND(COUNTIF(Teams!$B$5:$B$204,D143)=0,NOT(SUMPRODUCT(--ISNUMBER(SEARCH(","&amp;D143&amp;",",","&amp;SUBSTITUTE(SUBSTITUTE(Teams!$E$5:$E$204,", ",",")," ,",",")&amp;",")))&gt;0)),"Home team not on Teams tab",IF(AND(E143&lt;&gt;"",F143=""),"Only one score entered",IF(AND(F143&lt;&gt;"",E143=""),"Only one score entered","OK"))))))))</f>
        <v/>
      </c>
    </row>
    <row r="144">
      <c r="A144" s="16" t="n"/>
      <c r="B144" s="17" t="n"/>
      <c r="C144" s="12" t="n"/>
      <c r="D144" s="12" t="n"/>
      <c r="E144" s="18" t="n"/>
      <c r="F144" s="18" t="n"/>
      <c r="G144" s="13" t="n"/>
      <c r="H144" s="13" t="n"/>
      <c r="I144" s="13" t="n"/>
      <c r="J144" s="13" t="n"/>
      <c r="K144" s="19">
        <f>IF(AND(A144="",C144="",D144=""),"",IF(A144="","Missing the date in column A",IF(OR(C144="",D144=""),IF(I144="Bracket","OK - bracket TBD","Missing a team"),IF(C144=D144,"Same team twice",IF(AND(COUNTIF(Teams!$B$5:$B$204,C144)=0,NOT(SUMPRODUCT(--ISNUMBER(SEARCH(","&amp;C144&amp;",",","&amp;SUBSTITUTE(SUBSTITUTE(Teams!$E$5:$E$204,", ",",")," ,",",")&amp;",")))&gt;0)),"Away team not on Teams tab",IF(AND(COUNTIF(Teams!$B$5:$B$204,D144)=0,NOT(SUMPRODUCT(--ISNUMBER(SEARCH(","&amp;D144&amp;",",","&amp;SUBSTITUTE(SUBSTITUTE(Teams!$E$5:$E$204,", ",",")," ,",",")&amp;",")))&gt;0)),"Home team not on Teams tab",IF(AND(E144&lt;&gt;"",F144=""),"Only one score entered",IF(AND(F144&lt;&gt;"",E144=""),"Only one score entered","OK"))))))))</f>
        <v/>
      </c>
    </row>
    <row r="145">
      <c r="A145" s="16" t="n"/>
      <c r="B145" s="17" t="n"/>
      <c r="C145" s="12" t="n"/>
      <c r="D145" s="12" t="n"/>
      <c r="E145" s="18" t="n"/>
      <c r="F145" s="18" t="n"/>
      <c r="G145" s="13" t="n"/>
      <c r="H145" s="13" t="n"/>
      <c r="I145" s="13" t="n"/>
      <c r="J145" s="13" t="n"/>
      <c r="K145" s="19">
        <f>IF(AND(A145="",C145="",D145=""),"",IF(A145="","Missing the date in column A",IF(OR(C145="",D145=""),IF(I145="Bracket","OK - bracket TBD","Missing a team"),IF(C145=D145,"Same team twice",IF(AND(COUNTIF(Teams!$B$5:$B$204,C145)=0,NOT(SUMPRODUCT(--ISNUMBER(SEARCH(","&amp;C145&amp;",",","&amp;SUBSTITUTE(SUBSTITUTE(Teams!$E$5:$E$204,", ",",")," ,",",")&amp;",")))&gt;0)),"Away team not on Teams tab",IF(AND(COUNTIF(Teams!$B$5:$B$204,D145)=0,NOT(SUMPRODUCT(--ISNUMBER(SEARCH(","&amp;D145&amp;",",","&amp;SUBSTITUTE(SUBSTITUTE(Teams!$E$5:$E$204,", ",",")," ,",",")&amp;",")))&gt;0)),"Home team not on Teams tab",IF(AND(E145&lt;&gt;"",F145=""),"Only one score entered",IF(AND(F145&lt;&gt;"",E145=""),"Only one score entered","OK"))))))))</f>
        <v/>
      </c>
    </row>
    <row r="146">
      <c r="A146" s="16" t="n"/>
      <c r="B146" s="17" t="n"/>
      <c r="C146" s="12" t="n"/>
      <c r="D146" s="12" t="n"/>
      <c r="E146" s="18" t="n"/>
      <c r="F146" s="18" t="n"/>
      <c r="G146" s="13" t="n"/>
      <c r="H146" s="13" t="n"/>
      <c r="I146" s="13" t="n"/>
      <c r="J146" s="13" t="n"/>
      <c r="K146" s="19">
        <f>IF(AND(A146="",C146="",D146=""),"",IF(A146="","Missing the date in column A",IF(OR(C146="",D146=""),IF(I146="Bracket","OK - bracket TBD","Missing a team"),IF(C146=D146,"Same team twice",IF(AND(COUNTIF(Teams!$B$5:$B$204,C146)=0,NOT(SUMPRODUCT(--ISNUMBER(SEARCH(","&amp;C146&amp;",",","&amp;SUBSTITUTE(SUBSTITUTE(Teams!$E$5:$E$204,", ",",")," ,",",")&amp;",")))&gt;0)),"Away team not on Teams tab",IF(AND(COUNTIF(Teams!$B$5:$B$204,D146)=0,NOT(SUMPRODUCT(--ISNUMBER(SEARCH(","&amp;D146&amp;",",","&amp;SUBSTITUTE(SUBSTITUTE(Teams!$E$5:$E$204,", ",",")," ,",",")&amp;",")))&gt;0)),"Home team not on Teams tab",IF(AND(E146&lt;&gt;"",F146=""),"Only one score entered",IF(AND(F146&lt;&gt;"",E146=""),"Only one score entered","OK"))))))))</f>
        <v/>
      </c>
    </row>
    <row r="147">
      <c r="A147" s="16" t="n"/>
      <c r="B147" s="17" t="n"/>
      <c r="C147" s="12" t="n"/>
      <c r="D147" s="12" t="n"/>
      <c r="E147" s="18" t="n"/>
      <c r="F147" s="18" t="n"/>
      <c r="G147" s="13" t="n"/>
      <c r="H147" s="13" t="n"/>
      <c r="I147" s="13" t="n"/>
      <c r="J147" s="13" t="n"/>
      <c r="K147" s="19">
        <f>IF(AND(A147="",C147="",D147=""),"",IF(A147="","Missing the date in column A",IF(OR(C147="",D147=""),IF(I147="Bracket","OK - bracket TBD","Missing a team"),IF(C147=D147,"Same team twice",IF(AND(COUNTIF(Teams!$B$5:$B$204,C147)=0,NOT(SUMPRODUCT(--ISNUMBER(SEARCH(","&amp;C147&amp;",",","&amp;SUBSTITUTE(SUBSTITUTE(Teams!$E$5:$E$204,", ",",")," ,",",")&amp;",")))&gt;0)),"Away team not on Teams tab",IF(AND(COUNTIF(Teams!$B$5:$B$204,D147)=0,NOT(SUMPRODUCT(--ISNUMBER(SEARCH(","&amp;D147&amp;",",","&amp;SUBSTITUTE(SUBSTITUTE(Teams!$E$5:$E$204,", ",",")," ,",",")&amp;",")))&gt;0)),"Home team not on Teams tab",IF(AND(E147&lt;&gt;"",F147=""),"Only one score entered",IF(AND(F147&lt;&gt;"",E147=""),"Only one score entered","OK"))))))))</f>
        <v/>
      </c>
    </row>
    <row r="148">
      <c r="A148" s="16" t="n"/>
      <c r="B148" s="17" t="n"/>
      <c r="C148" s="12" t="n"/>
      <c r="D148" s="12" t="n"/>
      <c r="E148" s="18" t="n"/>
      <c r="F148" s="18" t="n"/>
      <c r="G148" s="13" t="n"/>
      <c r="H148" s="13" t="n"/>
      <c r="I148" s="13" t="n"/>
      <c r="J148" s="13" t="n"/>
      <c r="K148" s="19">
        <f>IF(AND(A148="",C148="",D148=""),"",IF(A148="","Missing the date in column A",IF(OR(C148="",D148=""),IF(I148="Bracket","OK - bracket TBD","Missing a team"),IF(C148=D148,"Same team twice",IF(AND(COUNTIF(Teams!$B$5:$B$204,C148)=0,NOT(SUMPRODUCT(--ISNUMBER(SEARCH(","&amp;C148&amp;",",","&amp;SUBSTITUTE(SUBSTITUTE(Teams!$E$5:$E$204,", ",",")," ,",",")&amp;",")))&gt;0)),"Away team not on Teams tab",IF(AND(COUNTIF(Teams!$B$5:$B$204,D148)=0,NOT(SUMPRODUCT(--ISNUMBER(SEARCH(","&amp;D148&amp;",",","&amp;SUBSTITUTE(SUBSTITUTE(Teams!$E$5:$E$204,", ",",")," ,",",")&amp;",")))&gt;0)),"Home team not on Teams tab",IF(AND(E148&lt;&gt;"",F148=""),"Only one score entered",IF(AND(F148&lt;&gt;"",E148=""),"Only one score entered","OK"))))))))</f>
        <v/>
      </c>
    </row>
    <row r="149">
      <c r="A149" s="16" t="n"/>
      <c r="B149" s="17" t="n"/>
      <c r="C149" s="12" t="n"/>
      <c r="D149" s="12" t="n"/>
      <c r="E149" s="18" t="n"/>
      <c r="F149" s="18" t="n"/>
      <c r="G149" s="13" t="n"/>
      <c r="H149" s="13" t="n"/>
      <c r="I149" s="13" t="n"/>
      <c r="J149" s="13" t="n"/>
      <c r="K149" s="19">
        <f>IF(AND(A149="",C149="",D149=""),"",IF(A149="","Missing the date in column A",IF(OR(C149="",D149=""),IF(I149="Bracket","OK - bracket TBD","Missing a team"),IF(C149=D149,"Same team twice",IF(AND(COUNTIF(Teams!$B$5:$B$204,C149)=0,NOT(SUMPRODUCT(--ISNUMBER(SEARCH(","&amp;C149&amp;",",","&amp;SUBSTITUTE(SUBSTITUTE(Teams!$E$5:$E$204,", ",",")," ,",",")&amp;",")))&gt;0)),"Away team not on Teams tab",IF(AND(COUNTIF(Teams!$B$5:$B$204,D149)=0,NOT(SUMPRODUCT(--ISNUMBER(SEARCH(","&amp;D149&amp;",",","&amp;SUBSTITUTE(SUBSTITUTE(Teams!$E$5:$E$204,", ",",")," ,",",")&amp;",")))&gt;0)),"Home team not on Teams tab",IF(AND(E149&lt;&gt;"",F149=""),"Only one score entered",IF(AND(F149&lt;&gt;"",E149=""),"Only one score entered","OK"))))))))</f>
        <v/>
      </c>
    </row>
    <row r="150">
      <c r="A150" s="16" t="n"/>
      <c r="B150" s="17" t="n"/>
      <c r="C150" s="12" t="n"/>
      <c r="D150" s="12" t="n"/>
      <c r="E150" s="18" t="n"/>
      <c r="F150" s="18" t="n"/>
      <c r="G150" s="13" t="n"/>
      <c r="H150" s="13" t="n"/>
      <c r="I150" s="13" t="n"/>
      <c r="J150" s="13" t="n"/>
      <c r="K150" s="19">
        <f>IF(AND(A150="",C150="",D150=""),"",IF(A150="","Missing the date in column A",IF(OR(C150="",D150=""),IF(I150="Bracket","OK - bracket TBD","Missing a team"),IF(C150=D150,"Same team twice",IF(AND(COUNTIF(Teams!$B$5:$B$204,C150)=0,NOT(SUMPRODUCT(--ISNUMBER(SEARCH(","&amp;C150&amp;",",","&amp;SUBSTITUTE(SUBSTITUTE(Teams!$E$5:$E$204,", ",",")," ,",",")&amp;",")))&gt;0)),"Away team not on Teams tab",IF(AND(COUNTIF(Teams!$B$5:$B$204,D150)=0,NOT(SUMPRODUCT(--ISNUMBER(SEARCH(","&amp;D150&amp;",",","&amp;SUBSTITUTE(SUBSTITUTE(Teams!$E$5:$E$204,", ",",")," ,",",")&amp;",")))&gt;0)),"Home team not on Teams tab",IF(AND(E150&lt;&gt;"",F150=""),"Only one score entered",IF(AND(F150&lt;&gt;"",E150=""),"Only one score entered","OK"))))))))</f>
        <v/>
      </c>
    </row>
    <row r="151">
      <c r="A151" s="16" t="n"/>
      <c r="B151" s="17" t="n"/>
      <c r="C151" s="12" t="n"/>
      <c r="D151" s="12" t="n"/>
      <c r="E151" s="18" t="n"/>
      <c r="F151" s="18" t="n"/>
      <c r="G151" s="13" t="n"/>
      <c r="H151" s="13" t="n"/>
      <c r="I151" s="13" t="n"/>
      <c r="J151" s="13" t="n"/>
      <c r="K151" s="19">
        <f>IF(AND(A151="",C151="",D151=""),"",IF(A151="","Missing the date in column A",IF(OR(C151="",D151=""),IF(I151="Bracket","OK - bracket TBD","Missing a team"),IF(C151=D151,"Same team twice",IF(AND(COUNTIF(Teams!$B$5:$B$204,C151)=0,NOT(SUMPRODUCT(--ISNUMBER(SEARCH(","&amp;C151&amp;",",","&amp;SUBSTITUTE(SUBSTITUTE(Teams!$E$5:$E$204,", ",",")," ,",",")&amp;",")))&gt;0)),"Away team not on Teams tab",IF(AND(COUNTIF(Teams!$B$5:$B$204,D151)=0,NOT(SUMPRODUCT(--ISNUMBER(SEARCH(","&amp;D151&amp;",",","&amp;SUBSTITUTE(SUBSTITUTE(Teams!$E$5:$E$204,", ",",")," ,",",")&amp;",")))&gt;0)),"Home team not on Teams tab",IF(AND(E151&lt;&gt;"",F151=""),"Only one score entered",IF(AND(F151&lt;&gt;"",E151=""),"Only one score entered","OK"))))))))</f>
        <v/>
      </c>
    </row>
    <row r="152">
      <c r="A152" s="16" t="n"/>
      <c r="B152" s="17" t="n"/>
      <c r="C152" s="12" t="n"/>
      <c r="D152" s="12" t="n"/>
      <c r="E152" s="18" t="n"/>
      <c r="F152" s="18" t="n"/>
      <c r="G152" s="13" t="n"/>
      <c r="H152" s="13" t="n"/>
      <c r="I152" s="13" t="n"/>
      <c r="J152" s="13" t="n"/>
      <c r="K152" s="19">
        <f>IF(AND(A152="",C152="",D152=""),"",IF(A152="","Missing the date in column A",IF(OR(C152="",D152=""),IF(I152="Bracket","OK - bracket TBD","Missing a team"),IF(C152=D152,"Same team twice",IF(AND(COUNTIF(Teams!$B$5:$B$204,C152)=0,NOT(SUMPRODUCT(--ISNUMBER(SEARCH(","&amp;C152&amp;",",","&amp;SUBSTITUTE(SUBSTITUTE(Teams!$E$5:$E$204,", ",",")," ,",",")&amp;",")))&gt;0)),"Away team not on Teams tab",IF(AND(COUNTIF(Teams!$B$5:$B$204,D152)=0,NOT(SUMPRODUCT(--ISNUMBER(SEARCH(","&amp;D152&amp;",",","&amp;SUBSTITUTE(SUBSTITUTE(Teams!$E$5:$E$204,", ",",")," ,",",")&amp;",")))&gt;0)),"Home team not on Teams tab",IF(AND(E152&lt;&gt;"",F152=""),"Only one score entered",IF(AND(F152&lt;&gt;"",E152=""),"Only one score entered","OK"))))))))</f>
        <v/>
      </c>
    </row>
    <row r="153">
      <c r="A153" s="16" t="n"/>
      <c r="B153" s="17" t="n"/>
      <c r="C153" s="12" t="n"/>
      <c r="D153" s="12" t="n"/>
      <c r="E153" s="18" t="n"/>
      <c r="F153" s="18" t="n"/>
      <c r="G153" s="13" t="n"/>
      <c r="H153" s="13" t="n"/>
      <c r="I153" s="13" t="n"/>
      <c r="J153" s="13" t="n"/>
      <c r="K153" s="19">
        <f>IF(AND(A153="",C153="",D153=""),"",IF(A153="","Missing the date in column A",IF(OR(C153="",D153=""),IF(I153="Bracket","OK - bracket TBD","Missing a team"),IF(C153=D153,"Same team twice",IF(AND(COUNTIF(Teams!$B$5:$B$204,C153)=0,NOT(SUMPRODUCT(--ISNUMBER(SEARCH(","&amp;C153&amp;",",","&amp;SUBSTITUTE(SUBSTITUTE(Teams!$E$5:$E$204,", ",",")," ,",",")&amp;",")))&gt;0)),"Away team not on Teams tab",IF(AND(COUNTIF(Teams!$B$5:$B$204,D153)=0,NOT(SUMPRODUCT(--ISNUMBER(SEARCH(","&amp;D153&amp;",",","&amp;SUBSTITUTE(SUBSTITUTE(Teams!$E$5:$E$204,", ",",")," ,",",")&amp;",")))&gt;0)),"Home team not on Teams tab",IF(AND(E153&lt;&gt;"",F153=""),"Only one score entered",IF(AND(F153&lt;&gt;"",E153=""),"Only one score entered","OK"))))))))</f>
        <v/>
      </c>
    </row>
    <row r="154">
      <c r="A154" s="16" t="n"/>
      <c r="B154" s="17" t="n"/>
      <c r="C154" s="12" t="n"/>
      <c r="D154" s="12" t="n"/>
      <c r="E154" s="18" t="n"/>
      <c r="F154" s="18" t="n"/>
      <c r="G154" s="13" t="n"/>
      <c r="H154" s="13" t="n"/>
      <c r="I154" s="13" t="n"/>
      <c r="J154" s="13" t="n"/>
      <c r="K154" s="19">
        <f>IF(AND(A154="",C154="",D154=""),"",IF(A154="","Missing the date in column A",IF(OR(C154="",D154=""),IF(I154="Bracket","OK - bracket TBD","Missing a team"),IF(C154=D154,"Same team twice",IF(AND(COUNTIF(Teams!$B$5:$B$204,C154)=0,NOT(SUMPRODUCT(--ISNUMBER(SEARCH(","&amp;C154&amp;",",","&amp;SUBSTITUTE(SUBSTITUTE(Teams!$E$5:$E$204,", ",",")," ,",",")&amp;",")))&gt;0)),"Away team not on Teams tab",IF(AND(COUNTIF(Teams!$B$5:$B$204,D154)=0,NOT(SUMPRODUCT(--ISNUMBER(SEARCH(","&amp;D154&amp;",",","&amp;SUBSTITUTE(SUBSTITUTE(Teams!$E$5:$E$204,", ",",")," ,",",")&amp;",")))&gt;0)),"Home team not on Teams tab",IF(AND(E154&lt;&gt;"",F154=""),"Only one score entered",IF(AND(F154&lt;&gt;"",E154=""),"Only one score entered","OK"))))))))</f>
        <v/>
      </c>
    </row>
    <row r="155">
      <c r="A155" s="16" t="n"/>
      <c r="B155" s="17" t="n"/>
      <c r="C155" s="12" t="n"/>
      <c r="D155" s="12" t="n"/>
      <c r="E155" s="18" t="n"/>
      <c r="F155" s="18" t="n"/>
      <c r="G155" s="13" t="n"/>
      <c r="H155" s="13" t="n"/>
      <c r="I155" s="13" t="n"/>
      <c r="J155" s="13" t="n"/>
      <c r="K155" s="19">
        <f>IF(AND(A155="",C155="",D155=""),"",IF(A155="","Missing the date in column A",IF(OR(C155="",D155=""),IF(I155="Bracket","OK - bracket TBD","Missing a team"),IF(C155=D155,"Same team twice",IF(AND(COUNTIF(Teams!$B$5:$B$204,C155)=0,NOT(SUMPRODUCT(--ISNUMBER(SEARCH(","&amp;C155&amp;",",","&amp;SUBSTITUTE(SUBSTITUTE(Teams!$E$5:$E$204,", ",",")," ,",",")&amp;",")))&gt;0)),"Away team not on Teams tab",IF(AND(COUNTIF(Teams!$B$5:$B$204,D155)=0,NOT(SUMPRODUCT(--ISNUMBER(SEARCH(","&amp;D155&amp;",",","&amp;SUBSTITUTE(SUBSTITUTE(Teams!$E$5:$E$204,", ",",")," ,",",")&amp;",")))&gt;0)),"Home team not on Teams tab",IF(AND(E155&lt;&gt;"",F155=""),"Only one score entered",IF(AND(F155&lt;&gt;"",E155=""),"Only one score entered","OK"))))))))</f>
        <v/>
      </c>
    </row>
    <row r="156">
      <c r="A156" s="16" t="n"/>
      <c r="B156" s="17" t="n"/>
      <c r="C156" s="12" t="n"/>
      <c r="D156" s="12" t="n"/>
      <c r="E156" s="18" t="n"/>
      <c r="F156" s="18" t="n"/>
      <c r="G156" s="13" t="n"/>
      <c r="H156" s="13" t="n"/>
      <c r="I156" s="13" t="n"/>
      <c r="J156" s="13" t="n"/>
      <c r="K156" s="19">
        <f>IF(AND(A156="",C156="",D156=""),"",IF(A156="","Missing the date in column A",IF(OR(C156="",D156=""),IF(I156="Bracket","OK - bracket TBD","Missing a team"),IF(C156=D156,"Same team twice",IF(AND(COUNTIF(Teams!$B$5:$B$204,C156)=0,NOT(SUMPRODUCT(--ISNUMBER(SEARCH(","&amp;C156&amp;",",","&amp;SUBSTITUTE(SUBSTITUTE(Teams!$E$5:$E$204,", ",",")," ,",",")&amp;",")))&gt;0)),"Away team not on Teams tab",IF(AND(COUNTIF(Teams!$B$5:$B$204,D156)=0,NOT(SUMPRODUCT(--ISNUMBER(SEARCH(","&amp;D156&amp;",",","&amp;SUBSTITUTE(SUBSTITUTE(Teams!$E$5:$E$204,", ",",")," ,",",")&amp;",")))&gt;0)),"Home team not on Teams tab",IF(AND(E156&lt;&gt;"",F156=""),"Only one score entered",IF(AND(F156&lt;&gt;"",E156=""),"Only one score entered","OK"))))))))</f>
        <v/>
      </c>
    </row>
    <row r="157">
      <c r="A157" s="16" t="n"/>
      <c r="B157" s="17" t="n"/>
      <c r="C157" s="12" t="n"/>
      <c r="D157" s="12" t="n"/>
      <c r="E157" s="18" t="n"/>
      <c r="F157" s="18" t="n"/>
      <c r="G157" s="13" t="n"/>
      <c r="H157" s="13" t="n"/>
      <c r="I157" s="13" t="n"/>
      <c r="J157" s="13" t="n"/>
      <c r="K157" s="19">
        <f>IF(AND(A157="",C157="",D157=""),"",IF(A157="","Missing the date in column A",IF(OR(C157="",D157=""),IF(I157="Bracket","OK - bracket TBD","Missing a team"),IF(C157=D157,"Same team twice",IF(AND(COUNTIF(Teams!$B$5:$B$204,C157)=0,NOT(SUMPRODUCT(--ISNUMBER(SEARCH(","&amp;C157&amp;",",","&amp;SUBSTITUTE(SUBSTITUTE(Teams!$E$5:$E$204,", ",",")," ,",",")&amp;",")))&gt;0)),"Away team not on Teams tab",IF(AND(COUNTIF(Teams!$B$5:$B$204,D157)=0,NOT(SUMPRODUCT(--ISNUMBER(SEARCH(","&amp;D157&amp;",",","&amp;SUBSTITUTE(SUBSTITUTE(Teams!$E$5:$E$204,", ",",")," ,",",")&amp;",")))&gt;0)),"Home team not on Teams tab",IF(AND(E157&lt;&gt;"",F157=""),"Only one score entered",IF(AND(F157&lt;&gt;"",E157=""),"Only one score entered","OK"))))))))</f>
        <v/>
      </c>
    </row>
    <row r="158">
      <c r="A158" s="16" t="n"/>
      <c r="B158" s="17" t="n"/>
      <c r="C158" s="12" t="n"/>
      <c r="D158" s="12" t="n"/>
      <c r="E158" s="18" t="n"/>
      <c r="F158" s="18" t="n"/>
      <c r="G158" s="13" t="n"/>
      <c r="H158" s="13" t="n"/>
      <c r="I158" s="13" t="n"/>
      <c r="J158" s="13" t="n"/>
      <c r="K158" s="19">
        <f>IF(AND(A158="",C158="",D158=""),"",IF(A158="","Missing the date in column A",IF(OR(C158="",D158=""),IF(I158="Bracket","OK - bracket TBD","Missing a team"),IF(C158=D158,"Same team twice",IF(AND(COUNTIF(Teams!$B$5:$B$204,C158)=0,NOT(SUMPRODUCT(--ISNUMBER(SEARCH(","&amp;C158&amp;",",","&amp;SUBSTITUTE(SUBSTITUTE(Teams!$E$5:$E$204,", ",",")," ,",",")&amp;",")))&gt;0)),"Away team not on Teams tab",IF(AND(COUNTIF(Teams!$B$5:$B$204,D158)=0,NOT(SUMPRODUCT(--ISNUMBER(SEARCH(","&amp;D158&amp;",",","&amp;SUBSTITUTE(SUBSTITUTE(Teams!$E$5:$E$204,", ",",")," ,",",")&amp;",")))&gt;0)),"Home team not on Teams tab",IF(AND(E158&lt;&gt;"",F158=""),"Only one score entered",IF(AND(F158&lt;&gt;"",E158=""),"Only one score entered","OK"))))))))</f>
        <v/>
      </c>
    </row>
    <row r="159">
      <c r="A159" s="16" t="n"/>
      <c r="B159" s="17" t="n"/>
      <c r="C159" s="12" t="n"/>
      <c r="D159" s="12" t="n"/>
      <c r="E159" s="18" t="n"/>
      <c r="F159" s="18" t="n"/>
      <c r="G159" s="13" t="n"/>
      <c r="H159" s="13" t="n"/>
      <c r="I159" s="13" t="n"/>
      <c r="J159" s="13" t="n"/>
      <c r="K159" s="19">
        <f>IF(AND(A159="",C159="",D159=""),"",IF(A159="","Missing the date in column A",IF(OR(C159="",D159=""),IF(I159="Bracket","OK - bracket TBD","Missing a team"),IF(C159=D159,"Same team twice",IF(AND(COUNTIF(Teams!$B$5:$B$204,C159)=0,NOT(SUMPRODUCT(--ISNUMBER(SEARCH(","&amp;C159&amp;",",","&amp;SUBSTITUTE(SUBSTITUTE(Teams!$E$5:$E$204,", ",",")," ,",",")&amp;",")))&gt;0)),"Away team not on Teams tab",IF(AND(COUNTIF(Teams!$B$5:$B$204,D159)=0,NOT(SUMPRODUCT(--ISNUMBER(SEARCH(","&amp;D159&amp;",",","&amp;SUBSTITUTE(SUBSTITUTE(Teams!$E$5:$E$204,", ",",")," ,",",")&amp;",")))&gt;0)),"Home team not on Teams tab",IF(AND(E159&lt;&gt;"",F159=""),"Only one score entered",IF(AND(F159&lt;&gt;"",E159=""),"Only one score entered","OK"))))))))</f>
        <v/>
      </c>
    </row>
    <row r="160">
      <c r="A160" s="16" t="n"/>
      <c r="B160" s="17" t="n"/>
      <c r="C160" s="12" t="n"/>
      <c r="D160" s="12" t="n"/>
      <c r="E160" s="18" t="n"/>
      <c r="F160" s="18" t="n"/>
      <c r="G160" s="13" t="n"/>
      <c r="H160" s="13" t="n"/>
      <c r="I160" s="13" t="n"/>
      <c r="J160" s="13" t="n"/>
      <c r="K160" s="19">
        <f>IF(AND(A160="",C160="",D160=""),"",IF(A160="","Missing the date in column A",IF(OR(C160="",D160=""),IF(I160="Bracket","OK - bracket TBD","Missing a team"),IF(C160=D160,"Same team twice",IF(AND(COUNTIF(Teams!$B$5:$B$204,C160)=0,NOT(SUMPRODUCT(--ISNUMBER(SEARCH(","&amp;C160&amp;",",","&amp;SUBSTITUTE(SUBSTITUTE(Teams!$E$5:$E$204,", ",",")," ,",",")&amp;",")))&gt;0)),"Away team not on Teams tab",IF(AND(COUNTIF(Teams!$B$5:$B$204,D160)=0,NOT(SUMPRODUCT(--ISNUMBER(SEARCH(","&amp;D160&amp;",",","&amp;SUBSTITUTE(SUBSTITUTE(Teams!$E$5:$E$204,", ",",")," ,",",")&amp;",")))&gt;0)),"Home team not on Teams tab",IF(AND(E160&lt;&gt;"",F160=""),"Only one score entered",IF(AND(F160&lt;&gt;"",E160=""),"Only one score entered","OK"))))))))</f>
        <v/>
      </c>
    </row>
    <row r="161">
      <c r="A161" s="16" t="n"/>
      <c r="B161" s="17" t="n"/>
      <c r="C161" s="12" t="n"/>
      <c r="D161" s="12" t="n"/>
      <c r="E161" s="18" t="n"/>
      <c r="F161" s="18" t="n"/>
      <c r="G161" s="13" t="n"/>
      <c r="H161" s="13" t="n"/>
      <c r="I161" s="13" t="n"/>
      <c r="J161" s="13" t="n"/>
      <c r="K161" s="19">
        <f>IF(AND(A161="",C161="",D161=""),"",IF(A161="","Missing the date in column A",IF(OR(C161="",D161=""),IF(I161="Bracket","OK - bracket TBD","Missing a team"),IF(C161=D161,"Same team twice",IF(AND(COUNTIF(Teams!$B$5:$B$204,C161)=0,NOT(SUMPRODUCT(--ISNUMBER(SEARCH(","&amp;C161&amp;",",","&amp;SUBSTITUTE(SUBSTITUTE(Teams!$E$5:$E$204,", ",",")," ,",",")&amp;",")))&gt;0)),"Away team not on Teams tab",IF(AND(COUNTIF(Teams!$B$5:$B$204,D161)=0,NOT(SUMPRODUCT(--ISNUMBER(SEARCH(","&amp;D161&amp;",",","&amp;SUBSTITUTE(SUBSTITUTE(Teams!$E$5:$E$204,", ",",")," ,",",")&amp;",")))&gt;0)),"Home team not on Teams tab",IF(AND(E161&lt;&gt;"",F161=""),"Only one score entered",IF(AND(F161&lt;&gt;"",E161=""),"Only one score entered","OK"))))))))</f>
        <v/>
      </c>
    </row>
    <row r="162">
      <c r="A162" s="16" t="n"/>
      <c r="B162" s="17" t="n"/>
      <c r="C162" s="12" t="n"/>
      <c r="D162" s="12" t="n"/>
      <c r="E162" s="18" t="n"/>
      <c r="F162" s="18" t="n"/>
      <c r="G162" s="13" t="n"/>
      <c r="H162" s="13" t="n"/>
      <c r="I162" s="13" t="n"/>
      <c r="J162" s="13" t="n"/>
      <c r="K162" s="19">
        <f>IF(AND(A162="",C162="",D162=""),"",IF(A162="","Missing the date in column A",IF(OR(C162="",D162=""),IF(I162="Bracket","OK - bracket TBD","Missing a team"),IF(C162=D162,"Same team twice",IF(AND(COUNTIF(Teams!$B$5:$B$204,C162)=0,NOT(SUMPRODUCT(--ISNUMBER(SEARCH(","&amp;C162&amp;",",","&amp;SUBSTITUTE(SUBSTITUTE(Teams!$E$5:$E$204,", ",",")," ,",",")&amp;",")))&gt;0)),"Away team not on Teams tab",IF(AND(COUNTIF(Teams!$B$5:$B$204,D162)=0,NOT(SUMPRODUCT(--ISNUMBER(SEARCH(","&amp;D162&amp;",",","&amp;SUBSTITUTE(SUBSTITUTE(Teams!$E$5:$E$204,", ",",")," ,",",")&amp;",")))&gt;0)),"Home team not on Teams tab",IF(AND(E162&lt;&gt;"",F162=""),"Only one score entered",IF(AND(F162&lt;&gt;"",E162=""),"Only one score entered","OK"))))))))</f>
        <v/>
      </c>
    </row>
    <row r="163">
      <c r="A163" s="16" t="n"/>
      <c r="B163" s="17" t="n"/>
      <c r="C163" s="12" t="n"/>
      <c r="D163" s="12" t="n"/>
      <c r="E163" s="18" t="n"/>
      <c r="F163" s="18" t="n"/>
      <c r="G163" s="13" t="n"/>
      <c r="H163" s="13" t="n"/>
      <c r="I163" s="13" t="n"/>
      <c r="J163" s="13" t="n"/>
      <c r="K163" s="19">
        <f>IF(AND(A163="",C163="",D163=""),"",IF(A163="","Missing the date in column A",IF(OR(C163="",D163=""),IF(I163="Bracket","OK - bracket TBD","Missing a team"),IF(C163=D163,"Same team twice",IF(AND(COUNTIF(Teams!$B$5:$B$204,C163)=0,NOT(SUMPRODUCT(--ISNUMBER(SEARCH(","&amp;C163&amp;",",","&amp;SUBSTITUTE(SUBSTITUTE(Teams!$E$5:$E$204,", ",",")," ,",",")&amp;",")))&gt;0)),"Away team not on Teams tab",IF(AND(COUNTIF(Teams!$B$5:$B$204,D163)=0,NOT(SUMPRODUCT(--ISNUMBER(SEARCH(","&amp;D163&amp;",",","&amp;SUBSTITUTE(SUBSTITUTE(Teams!$E$5:$E$204,", ",",")," ,",",")&amp;",")))&gt;0)),"Home team not on Teams tab",IF(AND(E163&lt;&gt;"",F163=""),"Only one score entered",IF(AND(F163&lt;&gt;"",E163=""),"Only one score entered","OK"))))))))</f>
        <v/>
      </c>
    </row>
    <row r="164">
      <c r="A164" s="16" t="n"/>
      <c r="B164" s="17" t="n"/>
      <c r="C164" s="12" t="n"/>
      <c r="D164" s="12" t="n"/>
      <c r="E164" s="18" t="n"/>
      <c r="F164" s="18" t="n"/>
      <c r="G164" s="13" t="n"/>
      <c r="H164" s="13" t="n"/>
      <c r="I164" s="13" t="n"/>
      <c r="J164" s="13" t="n"/>
      <c r="K164" s="19">
        <f>IF(AND(A164="",C164="",D164=""),"",IF(A164="","Missing the date in column A",IF(OR(C164="",D164=""),IF(I164="Bracket","OK - bracket TBD","Missing a team"),IF(C164=D164,"Same team twice",IF(AND(COUNTIF(Teams!$B$5:$B$204,C164)=0,NOT(SUMPRODUCT(--ISNUMBER(SEARCH(","&amp;C164&amp;",",","&amp;SUBSTITUTE(SUBSTITUTE(Teams!$E$5:$E$204,", ",",")," ,",",")&amp;",")))&gt;0)),"Away team not on Teams tab",IF(AND(COUNTIF(Teams!$B$5:$B$204,D164)=0,NOT(SUMPRODUCT(--ISNUMBER(SEARCH(","&amp;D164&amp;",",","&amp;SUBSTITUTE(SUBSTITUTE(Teams!$E$5:$E$204,", ",",")," ,",",")&amp;",")))&gt;0)),"Home team not on Teams tab",IF(AND(E164&lt;&gt;"",F164=""),"Only one score entered",IF(AND(F164&lt;&gt;"",E164=""),"Only one score entered","OK"))))))))</f>
        <v/>
      </c>
    </row>
    <row r="165">
      <c r="A165" s="16" t="n"/>
      <c r="B165" s="17" t="n"/>
      <c r="C165" s="12" t="n"/>
      <c r="D165" s="12" t="n"/>
      <c r="E165" s="18" t="n"/>
      <c r="F165" s="18" t="n"/>
      <c r="G165" s="13" t="n"/>
      <c r="H165" s="13" t="n"/>
      <c r="I165" s="13" t="n"/>
      <c r="J165" s="13" t="n"/>
      <c r="K165" s="19">
        <f>IF(AND(A165="",C165="",D165=""),"",IF(A165="","Missing the date in column A",IF(OR(C165="",D165=""),IF(I165="Bracket","OK - bracket TBD","Missing a team"),IF(C165=D165,"Same team twice",IF(AND(COUNTIF(Teams!$B$5:$B$204,C165)=0,NOT(SUMPRODUCT(--ISNUMBER(SEARCH(","&amp;C165&amp;",",","&amp;SUBSTITUTE(SUBSTITUTE(Teams!$E$5:$E$204,", ",",")," ,",",")&amp;",")))&gt;0)),"Away team not on Teams tab",IF(AND(COUNTIF(Teams!$B$5:$B$204,D165)=0,NOT(SUMPRODUCT(--ISNUMBER(SEARCH(","&amp;D165&amp;",",","&amp;SUBSTITUTE(SUBSTITUTE(Teams!$E$5:$E$204,", ",",")," ,",",")&amp;",")))&gt;0)),"Home team not on Teams tab",IF(AND(E165&lt;&gt;"",F165=""),"Only one score entered",IF(AND(F165&lt;&gt;"",E165=""),"Only one score entered","OK"))))))))</f>
        <v/>
      </c>
    </row>
    <row r="166">
      <c r="A166" s="16" t="n"/>
      <c r="B166" s="17" t="n"/>
      <c r="C166" s="12" t="n"/>
      <c r="D166" s="12" t="n"/>
      <c r="E166" s="18" t="n"/>
      <c r="F166" s="18" t="n"/>
      <c r="G166" s="13" t="n"/>
      <c r="H166" s="13" t="n"/>
      <c r="I166" s="13" t="n"/>
      <c r="J166" s="13" t="n"/>
      <c r="K166" s="19">
        <f>IF(AND(A166="",C166="",D166=""),"",IF(A166="","Missing the date in column A",IF(OR(C166="",D166=""),IF(I166="Bracket","OK - bracket TBD","Missing a team"),IF(C166=D166,"Same team twice",IF(AND(COUNTIF(Teams!$B$5:$B$204,C166)=0,NOT(SUMPRODUCT(--ISNUMBER(SEARCH(","&amp;C166&amp;",",","&amp;SUBSTITUTE(SUBSTITUTE(Teams!$E$5:$E$204,", ",",")," ,",",")&amp;",")))&gt;0)),"Away team not on Teams tab",IF(AND(COUNTIF(Teams!$B$5:$B$204,D166)=0,NOT(SUMPRODUCT(--ISNUMBER(SEARCH(","&amp;D166&amp;",",","&amp;SUBSTITUTE(SUBSTITUTE(Teams!$E$5:$E$204,", ",",")," ,",",")&amp;",")))&gt;0)),"Home team not on Teams tab",IF(AND(E166&lt;&gt;"",F166=""),"Only one score entered",IF(AND(F166&lt;&gt;"",E166=""),"Only one score entered","OK"))))))))</f>
        <v/>
      </c>
    </row>
    <row r="167">
      <c r="A167" s="16" t="n"/>
      <c r="B167" s="17" t="n"/>
      <c r="C167" s="12" t="n"/>
      <c r="D167" s="12" t="n"/>
      <c r="E167" s="18" t="n"/>
      <c r="F167" s="18" t="n"/>
      <c r="G167" s="13" t="n"/>
      <c r="H167" s="13" t="n"/>
      <c r="I167" s="13" t="n"/>
      <c r="J167" s="13" t="n"/>
      <c r="K167" s="19">
        <f>IF(AND(A167="",C167="",D167=""),"",IF(A167="","Missing the date in column A",IF(OR(C167="",D167=""),IF(I167="Bracket","OK - bracket TBD","Missing a team"),IF(C167=D167,"Same team twice",IF(AND(COUNTIF(Teams!$B$5:$B$204,C167)=0,NOT(SUMPRODUCT(--ISNUMBER(SEARCH(","&amp;C167&amp;",",","&amp;SUBSTITUTE(SUBSTITUTE(Teams!$E$5:$E$204,", ",",")," ,",",")&amp;",")))&gt;0)),"Away team not on Teams tab",IF(AND(COUNTIF(Teams!$B$5:$B$204,D167)=0,NOT(SUMPRODUCT(--ISNUMBER(SEARCH(","&amp;D167&amp;",",","&amp;SUBSTITUTE(SUBSTITUTE(Teams!$E$5:$E$204,", ",",")," ,",",")&amp;",")))&gt;0)),"Home team not on Teams tab",IF(AND(E167&lt;&gt;"",F167=""),"Only one score entered",IF(AND(F167&lt;&gt;"",E167=""),"Only one score entered","OK"))))))))</f>
        <v/>
      </c>
    </row>
    <row r="168">
      <c r="A168" s="16" t="n"/>
      <c r="B168" s="17" t="n"/>
      <c r="C168" s="12" t="n"/>
      <c r="D168" s="12" t="n"/>
      <c r="E168" s="18" t="n"/>
      <c r="F168" s="18" t="n"/>
      <c r="G168" s="13" t="n"/>
      <c r="H168" s="13" t="n"/>
      <c r="I168" s="13" t="n"/>
      <c r="J168" s="13" t="n"/>
      <c r="K168" s="19">
        <f>IF(AND(A168="",C168="",D168=""),"",IF(A168="","Missing the date in column A",IF(OR(C168="",D168=""),IF(I168="Bracket","OK - bracket TBD","Missing a team"),IF(C168=D168,"Same team twice",IF(AND(COUNTIF(Teams!$B$5:$B$204,C168)=0,NOT(SUMPRODUCT(--ISNUMBER(SEARCH(","&amp;C168&amp;",",","&amp;SUBSTITUTE(SUBSTITUTE(Teams!$E$5:$E$204,", ",",")," ,",",")&amp;",")))&gt;0)),"Away team not on Teams tab",IF(AND(COUNTIF(Teams!$B$5:$B$204,D168)=0,NOT(SUMPRODUCT(--ISNUMBER(SEARCH(","&amp;D168&amp;",",","&amp;SUBSTITUTE(SUBSTITUTE(Teams!$E$5:$E$204,", ",",")," ,",",")&amp;",")))&gt;0)),"Home team not on Teams tab",IF(AND(E168&lt;&gt;"",F168=""),"Only one score entered",IF(AND(F168&lt;&gt;"",E168=""),"Only one score entered","OK"))))))))</f>
        <v/>
      </c>
    </row>
    <row r="169">
      <c r="A169" s="16" t="n"/>
      <c r="B169" s="17" t="n"/>
      <c r="C169" s="12" t="n"/>
      <c r="D169" s="12" t="n"/>
      <c r="E169" s="18" t="n"/>
      <c r="F169" s="18" t="n"/>
      <c r="G169" s="13" t="n"/>
      <c r="H169" s="13" t="n"/>
      <c r="I169" s="13" t="n"/>
      <c r="J169" s="13" t="n"/>
      <c r="K169" s="19">
        <f>IF(AND(A169="",C169="",D169=""),"",IF(A169="","Missing the date in column A",IF(OR(C169="",D169=""),IF(I169="Bracket","OK - bracket TBD","Missing a team"),IF(C169=D169,"Same team twice",IF(AND(COUNTIF(Teams!$B$5:$B$204,C169)=0,NOT(SUMPRODUCT(--ISNUMBER(SEARCH(","&amp;C169&amp;",",","&amp;SUBSTITUTE(SUBSTITUTE(Teams!$E$5:$E$204,", ",",")," ,",",")&amp;",")))&gt;0)),"Away team not on Teams tab",IF(AND(COUNTIF(Teams!$B$5:$B$204,D169)=0,NOT(SUMPRODUCT(--ISNUMBER(SEARCH(","&amp;D169&amp;",",","&amp;SUBSTITUTE(SUBSTITUTE(Teams!$E$5:$E$204,", ",",")," ,",",")&amp;",")))&gt;0)),"Home team not on Teams tab",IF(AND(E169&lt;&gt;"",F169=""),"Only one score entered",IF(AND(F169&lt;&gt;"",E169=""),"Only one score entered","OK"))))))))</f>
        <v/>
      </c>
    </row>
    <row r="170">
      <c r="A170" s="16" t="n"/>
      <c r="B170" s="17" t="n"/>
      <c r="C170" s="12" t="n"/>
      <c r="D170" s="12" t="n"/>
      <c r="E170" s="18" t="n"/>
      <c r="F170" s="18" t="n"/>
      <c r="G170" s="13" t="n"/>
      <c r="H170" s="13" t="n"/>
      <c r="I170" s="13" t="n"/>
      <c r="J170" s="13" t="n"/>
      <c r="K170" s="19">
        <f>IF(AND(A170="",C170="",D170=""),"",IF(A170="","Missing the date in column A",IF(OR(C170="",D170=""),IF(I170="Bracket","OK - bracket TBD","Missing a team"),IF(C170=D170,"Same team twice",IF(AND(COUNTIF(Teams!$B$5:$B$204,C170)=0,NOT(SUMPRODUCT(--ISNUMBER(SEARCH(","&amp;C170&amp;",",","&amp;SUBSTITUTE(SUBSTITUTE(Teams!$E$5:$E$204,", ",",")," ,",",")&amp;",")))&gt;0)),"Away team not on Teams tab",IF(AND(COUNTIF(Teams!$B$5:$B$204,D170)=0,NOT(SUMPRODUCT(--ISNUMBER(SEARCH(","&amp;D170&amp;",",","&amp;SUBSTITUTE(SUBSTITUTE(Teams!$E$5:$E$204,", ",",")," ,",",")&amp;",")))&gt;0)),"Home team not on Teams tab",IF(AND(E170&lt;&gt;"",F170=""),"Only one score entered",IF(AND(F170&lt;&gt;"",E170=""),"Only one score entered","OK"))))))))</f>
        <v/>
      </c>
    </row>
    <row r="171">
      <c r="A171" s="16" t="n"/>
      <c r="B171" s="17" t="n"/>
      <c r="C171" s="12" t="n"/>
      <c r="D171" s="12" t="n"/>
      <c r="E171" s="18" t="n"/>
      <c r="F171" s="18" t="n"/>
      <c r="G171" s="13" t="n"/>
      <c r="H171" s="13" t="n"/>
      <c r="I171" s="13" t="n"/>
      <c r="J171" s="13" t="n"/>
      <c r="K171" s="19">
        <f>IF(AND(A171="",C171="",D171=""),"",IF(A171="","Missing the date in column A",IF(OR(C171="",D171=""),IF(I171="Bracket","OK - bracket TBD","Missing a team"),IF(C171=D171,"Same team twice",IF(AND(COUNTIF(Teams!$B$5:$B$204,C171)=0,NOT(SUMPRODUCT(--ISNUMBER(SEARCH(","&amp;C171&amp;",",","&amp;SUBSTITUTE(SUBSTITUTE(Teams!$E$5:$E$204,", ",",")," ,",",")&amp;",")))&gt;0)),"Away team not on Teams tab",IF(AND(COUNTIF(Teams!$B$5:$B$204,D171)=0,NOT(SUMPRODUCT(--ISNUMBER(SEARCH(","&amp;D171&amp;",",","&amp;SUBSTITUTE(SUBSTITUTE(Teams!$E$5:$E$204,", ",",")," ,",",")&amp;",")))&gt;0)),"Home team not on Teams tab",IF(AND(E171&lt;&gt;"",F171=""),"Only one score entered",IF(AND(F171&lt;&gt;"",E171=""),"Only one score entered","OK"))))))))</f>
        <v/>
      </c>
    </row>
    <row r="172">
      <c r="A172" s="16" t="n"/>
      <c r="B172" s="17" t="n"/>
      <c r="C172" s="12" t="n"/>
      <c r="D172" s="12" t="n"/>
      <c r="E172" s="18" t="n"/>
      <c r="F172" s="18" t="n"/>
      <c r="G172" s="13" t="n"/>
      <c r="H172" s="13" t="n"/>
      <c r="I172" s="13" t="n"/>
      <c r="J172" s="13" t="n"/>
      <c r="K172" s="19">
        <f>IF(AND(A172="",C172="",D172=""),"",IF(A172="","Missing the date in column A",IF(OR(C172="",D172=""),IF(I172="Bracket","OK - bracket TBD","Missing a team"),IF(C172=D172,"Same team twice",IF(AND(COUNTIF(Teams!$B$5:$B$204,C172)=0,NOT(SUMPRODUCT(--ISNUMBER(SEARCH(","&amp;C172&amp;",",","&amp;SUBSTITUTE(SUBSTITUTE(Teams!$E$5:$E$204,", ",",")," ,",",")&amp;",")))&gt;0)),"Away team not on Teams tab",IF(AND(COUNTIF(Teams!$B$5:$B$204,D172)=0,NOT(SUMPRODUCT(--ISNUMBER(SEARCH(","&amp;D172&amp;",",","&amp;SUBSTITUTE(SUBSTITUTE(Teams!$E$5:$E$204,", ",",")," ,",",")&amp;",")))&gt;0)),"Home team not on Teams tab",IF(AND(E172&lt;&gt;"",F172=""),"Only one score entered",IF(AND(F172&lt;&gt;"",E172=""),"Only one score entered","OK"))))))))</f>
        <v/>
      </c>
    </row>
    <row r="173">
      <c r="A173" s="16" t="n"/>
      <c r="B173" s="17" t="n"/>
      <c r="C173" s="12" t="n"/>
      <c r="D173" s="12" t="n"/>
      <c r="E173" s="18" t="n"/>
      <c r="F173" s="18" t="n"/>
      <c r="G173" s="13" t="n"/>
      <c r="H173" s="13" t="n"/>
      <c r="I173" s="13" t="n"/>
      <c r="J173" s="13" t="n"/>
      <c r="K173" s="19">
        <f>IF(AND(A173="",C173="",D173=""),"",IF(A173="","Missing the date in column A",IF(OR(C173="",D173=""),IF(I173="Bracket","OK - bracket TBD","Missing a team"),IF(C173=D173,"Same team twice",IF(AND(COUNTIF(Teams!$B$5:$B$204,C173)=0,NOT(SUMPRODUCT(--ISNUMBER(SEARCH(","&amp;C173&amp;",",","&amp;SUBSTITUTE(SUBSTITUTE(Teams!$E$5:$E$204,", ",",")," ,",",")&amp;",")))&gt;0)),"Away team not on Teams tab",IF(AND(COUNTIF(Teams!$B$5:$B$204,D173)=0,NOT(SUMPRODUCT(--ISNUMBER(SEARCH(","&amp;D173&amp;",",","&amp;SUBSTITUTE(SUBSTITUTE(Teams!$E$5:$E$204,", ",",")," ,",",")&amp;",")))&gt;0)),"Home team not on Teams tab",IF(AND(E173&lt;&gt;"",F173=""),"Only one score entered",IF(AND(F173&lt;&gt;"",E173=""),"Only one score entered","OK"))))))))</f>
        <v/>
      </c>
    </row>
    <row r="174">
      <c r="A174" s="16" t="n"/>
      <c r="B174" s="17" t="n"/>
      <c r="C174" s="12" t="n"/>
      <c r="D174" s="12" t="n"/>
      <c r="E174" s="18" t="n"/>
      <c r="F174" s="18" t="n"/>
      <c r="G174" s="13" t="n"/>
      <c r="H174" s="13" t="n"/>
      <c r="I174" s="13" t="n"/>
      <c r="J174" s="13" t="n"/>
      <c r="K174" s="19">
        <f>IF(AND(A174="",C174="",D174=""),"",IF(A174="","Missing the date in column A",IF(OR(C174="",D174=""),IF(I174="Bracket","OK - bracket TBD","Missing a team"),IF(C174=D174,"Same team twice",IF(AND(COUNTIF(Teams!$B$5:$B$204,C174)=0,NOT(SUMPRODUCT(--ISNUMBER(SEARCH(","&amp;C174&amp;",",","&amp;SUBSTITUTE(SUBSTITUTE(Teams!$E$5:$E$204,", ",",")," ,",",")&amp;",")))&gt;0)),"Away team not on Teams tab",IF(AND(COUNTIF(Teams!$B$5:$B$204,D174)=0,NOT(SUMPRODUCT(--ISNUMBER(SEARCH(","&amp;D174&amp;",",","&amp;SUBSTITUTE(SUBSTITUTE(Teams!$E$5:$E$204,", ",",")," ,",",")&amp;",")))&gt;0)),"Home team not on Teams tab",IF(AND(E174&lt;&gt;"",F174=""),"Only one score entered",IF(AND(F174&lt;&gt;"",E174=""),"Only one score entered","OK"))))))))</f>
        <v/>
      </c>
    </row>
    <row r="175">
      <c r="A175" s="16" t="n"/>
      <c r="B175" s="17" t="n"/>
      <c r="C175" s="12" t="n"/>
      <c r="D175" s="12" t="n"/>
      <c r="E175" s="18" t="n"/>
      <c r="F175" s="18" t="n"/>
      <c r="G175" s="13" t="n"/>
      <c r="H175" s="13" t="n"/>
      <c r="I175" s="13" t="n"/>
      <c r="J175" s="13" t="n"/>
      <c r="K175" s="19">
        <f>IF(AND(A175="",C175="",D175=""),"",IF(A175="","Missing the date in column A",IF(OR(C175="",D175=""),IF(I175="Bracket","OK - bracket TBD","Missing a team"),IF(C175=D175,"Same team twice",IF(AND(COUNTIF(Teams!$B$5:$B$204,C175)=0,NOT(SUMPRODUCT(--ISNUMBER(SEARCH(","&amp;C175&amp;",",","&amp;SUBSTITUTE(SUBSTITUTE(Teams!$E$5:$E$204,", ",",")," ,",",")&amp;",")))&gt;0)),"Away team not on Teams tab",IF(AND(COUNTIF(Teams!$B$5:$B$204,D175)=0,NOT(SUMPRODUCT(--ISNUMBER(SEARCH(","&amp;D175&amp;",",","&amp;SUBSTITUTE(SUBSTITUTE(Teams!$E$5:$E$204,", ",",")," ,",",")&amp;",")))&gt;0)),"Home team not on Teams tab",IF(AND(E175&lt;&gt;"",F175=""),"Only one score entered",IF(AND(F175&lt;&gt;"",E175=""),"Only one score entered","OK"))))))))</f>
        <v/>
      </c>
    </row>
    <row r="176">
      <c r="A176" s="16" t="n"/>
      <c r="B176" s="17" t="n"/>
      <c r="C176" s="12" t="n"/>
      <c r="D176" s="12" t="n"/>
      <c r="E176" s="18" t="n"/>
      <c r="F176" s="18" t="n"/>
      <c r="G176" s="13" t="n"/>
      <c r="H176" s="13" t="n"/>
      <c r="I176" s="13" t="n"/>
      <c r="J176" s="13" t="n"/>
      <c r="K176" s="19">
        <f>IF(AND(A176="",C176="",D176=""),"",IF(A176="","Missing the date in column A",IF(OR(C176="",D176=""),IF(I176="Bracket","OK - bracket TBD","Missing a team"),IF(C176=D176,"Same team twice",IF(AND(COUNTIF(Teams!$B$5:$B$204,C176)=0,NOT(SUMPRODUCT(--ISNUMBER(SEARCH(","&amp;C176&amp;",",","&amp;SUBSTITUTE(SUBSTITUTE(Teams!$E$5:$E$204,", ",",")," ,",",")&amp;",")))&gt;0)),"Away team not on Teams tab",IF(AND(COUNTIF(Teams!$B$5:$B$204,D176)=0,NOT(SUMPRODUCT(--ISNUMBER(SEARCH(","&amp;D176&amp;",",","&amp;SUBSTITUTE(SUBSTITUTE(Teams!$E$5:$E$204,", ",",")," ,",",")&amp;",")))&gt;0)),"Home team not on Teams tab",IF(AND(E176&lt;&gt;"",F176=""),"Only one score entered",IF(AND(F176&lt;&gt;"",E176=""),"Only one score entered","OK"))))))))</f>
        <v/>
      </c>
    </row>
    <row r="177">
      <c r="A177" s="16" t="n"/>
      <c r="B177" s="17" t="n"/>
      <c r="C177" s="12" t="n"/>
      <c r="D177" s="12" t="n"/>
      <c r="E177" s="18" t="n"/>
      <c r="F177" s="18" t="n"/>
      <c r="G177" s="13" t="n"/>
      <c r="H177" s="13" t="n"/>
      <c r="I177" s="13" t="n"/>
      <c r="J177" s="13" t="n"/>
      <c r="K177" s="19">
        <f>IF(AND(A177="",C177="",D177=""),"",IF(A177="","Missing the date in column A",IF(OR(C177="",D177=""),IF(I177="Bracket","OK - bracket TBD","Missing a team"),IF(C177=D177,"Same team twice",IF(AND(COUNTIF(Teams!$B$5:$B$204,C177)=0,NOT(SUMPRODUCT(--ISNUMBER(SEARCH(","&amp;C177&amp;",",","&amp;SUBSTITUTE(SUBSTITUTE(Teams!$E$5:$E$204,", ",",")," ,",",")&amp;",")))&gt;0)),"Away team not on Teams tab",IF(AND(COUNTIF(Teams!$B$5:$B$204,D177)=0,NOT(SUMPRODUCT(--ISNUMBER(SEARCH(","&amp;D177&amp;",",","&amp;SUBSTITUTE(SUBSTITUTE(Teams!$E$5:$E$204,", ",",")," ,",",")&amp;",")))&gt;0)),"Home team not on Teams tab",IF(AND(E177&lt;&gt;"",F177=""),"Only one score entered",IF(AND(F177&lt;&gt;"",E177=""),"Only one score entered","OK"))))))))</f>
        <v/>
      </c>
    </row>
    <row r="178">
      <c r="A178" s="16" t="n"/>
      <c r="B178" s="17" t="n"/>
      <c r="C178" s="12" t="n"/>
      <c r="D178" s="12" t="n"/>
      <c r="E178" s="18" t="n"/>
      <c r="F178" s="18" t="n"/>
      <c r="G178" s="13" t="n"/>
      <c r="H178" s="13" t="n"/>
      <c r="I178" s="13" t="n"/>
      <c r="J178" s="13" t="n"/>
      <c r="K178" s="19">
        <f>IF(AND(A178="",C178="",D178=""),"",IF(A178="","Missing the date in column A",IF(OR(C178="",D178=""),IF(I178="Bracket","OK - bracket TBD","Missing a team"),IF(C178=D178,"Same team twice",IF(AND(COUNTIF(Teams!$B$5:$B$204,C178)=0,NOT(SUMPRODUCT(--ISNUMBER(SEARCH(","&amp;C178&amp;",",","&amp;SUBSTITUTE(SUBSTITUTE(Teams!$E$5:$E$204,", ",",")," ,",",")&amp;",")))&gt;0)),"Away team not on Teams tab",IF(AND(COUNTIF(Teams!$B$5:$B$204,D178)=0,NOT(SUMPRODUCT(--ISNUMBER(SEARCH(","&amp;D178&amp;",",","&amp;SUBSTITUTE(SUBSTITUTE(Teams!$E$5:$E$204,", ",",")," ,",",")&amp;",")))&gt;0)),"Home team not on Teams tab",IF(AND(E178&lt;&gt;"",F178=""),"Only one score entered",IF(AND(F178&lt;&gt;"",E178=""),"Only one score entered","OK"))))))))</f>
        <v/>
      </c>
    </row>
    <row r="179">
      <c r="A179" s="16" t="n"/>
      <c r="B179" s="17" t="n"/>
      <c r="C179" s="12" t="n"/>
      <c r="D179" s="12" t="n"/>
      <c r="E179" s="18" t="n"/>
      <c r="F179" s="18" t="n"/>
      <c r="G179" s="13" t="n"/>
      <c r="H179" s="13" t="n"/>
      <c r="I179" s="13" t="n"/>
      <c r="J179" s="13" t="n"/>
      <c r="K179" s="19">
        <f>IF(AND(A179="",C179="",D179=""),"",IF(A179="","Missing the date in column A",IF(OR(C179="",D179=""),IF(I179="Bracket","OK - bracket TBD","Missing a team"),IF(C179=D179,"Same team twice",IF(AND(COUNTIF(Teams!$B$5:$B$204,C179)=0,NOT(SUMPRODUCT(--ISNUMBER(SEARCH(","&amp;C179&amp;",",","&amp;SUBSTITUTE(SUBSTITUTE(Teams!$E$5:$E$204,", ",",")," ,",",")&amp;",")))&gt;0)),"Away team not on Teams tab",IF(AND(COUNTIF(Teams!$B$5:$B$204,D179)=0,NOT(SUMPRODUCT(--ISNUMBER(SEARCH(","&amp;D179&amp;",",","&amp;SUBSTITUTE(SUBSTITUTE(Teams!$E$5:$E$204,", ",",")," ,",",")&amp;",")))&gt;0)),"Home team not on Teams tab",IF(AND(E179&lt;&gt;"",F179=""),"Only one score entered",IF(AND(F179&lt;&gt;"",E179=""),"Only one score entered","OK"))))))))</f>
        <v/>
      </c>
    </row>
    <row r="180">
      <c r="A180" s="16" t="n"/>
      <c r="B180" s="17" t="n"/>
      <c r="C180" s="12" t="n"/>
      <c r="D180" s="12" t="n"/>
      <c r="E180" s="18" t="n"/>
      <c r="F180" s="18" t="n"/>
      <c r="G180" s="13" t="n"/>
      <c r="H180" s="13" t="n"/>
      <c r="I180" s="13" t="n"/>
      <c r="J180" s="13" t="n"/>
      <c r="K180" s="19">
        <f>IF(AND(A180="",C180="",D180=""),"",IF(A180="","Missing the date in column A",IF(OR(C180="",D180=""),IF(I180="Bracket","OK - bracket TBD","Missing a team"),IF(C180=D180,"Same team twice",IF(AND(COUNTIF(Teams!$B$5:$B$204,C180)=0,NOT(SUMPRODUCT(--ISNUMBER(SEARCH(","&amp;C180&amp;",",","&amp;SUBSTITUTE(SUBSTITUTE(Teams!$E$5:$E$204,", ",",")," ,",",")&amp;",")))&gt;0)),"Away team not on Teams tab",IF(AND(COUNTIF(Teams!$B$5:$B$204,D180)=0,NOT(SUMPRODUCT(--ISNUMBER(SEARCH(","&amp;D180&amp;",",","&amp;SUBSTITUTE(SUBSTITUTE(Teams!$E$5:$E$204,", ",",")," ,",",")&amp;",")))&gt;0)),"Home team not on Teams tab",IF(AND(E180&lt;&gt;"",F180=""),"Only one score entered",IF(AND(F180&lt;&gt;"",E180=""),"Only one score entered","OK"))))))))</f>
        <v/>
      </c>
    </row>
    <row r="181">
      <c r="A181" s="16" t="n"/>
      <c r="B181" s="17" t="n"/>
      <c r="C181" s="12" t="n"/>
      <c r="D181" s="12" t="n"/>
      <c r="E181" s="18" t="n"/>
      <c r="F181" s="18" t="n"/>
      <c r="G181" s="13" t="n"/>
      <c r="H181" s="13" t="n"/>
      <c r="I181" s="13" t="n"/>
      <c r="J181" s="13" t="n"/>
      <c r="K181" s="19">
        <f>IF(AND(A181="",C181="",D181=""),"",IF(A181="","Missing the date in column A",IF(OR(C181="",D181=""),IF(I181="Bracket","OK - bracket TBD","Missing a team"),IF(C181=D181,"Same team twice",IF(AND(COUNTIF(Teams!$B$5:$B$204,C181)=0,NOT(SUMPRODUCT(--ISNUMBER(SEARCH(","&amp;C181&amp;",",","&amp;SUBSTITUTE(SUBSTITUTE(Teams!$E$5:$E$204,", ",",")," ,",",")&amp;",")))&gt;0)),"Away team not on Teams tab",IF(AND(COUNTIF(Teams!$B$5:$B$204,D181)=0,NOT(SUMPRODUCT(--ISNUMBER(SEARCH(","&amp;D181&amp;",",","&amp;SUBSTITUTE(SUBSTITUTE(Teams!$E$5:$E$204,", ",",")," ,",",")&amp;",")))&gt;0)),"Home team not on Teams tab",IF(AND(E181&lt;&gt;"",F181=""),"Only one score entered",IF(AND(F181&lt;&gt;"",E181=""),"Only one score entered","OK"))))))))</f>
        <v/>
      </c>
    </row>
    <row r="182">
      <c r="A182" s="16" t="n"/>
      <c r="B182" s="17" t="n"/>
      <c r="C182" s="12" t="n"/>
      <c r="D182" s="12" t="n"/>
      <c r="E182" s="18" t="n"/>
      <c r="F182" s="18" t="n"/>
      <c r="G182" s="13" t="n"/>
      <c r="H182" s="13" t="n"/>
      <c r="I182" s="13" t="n"/>
      <c r="J182" s="13" t="n"/>
      <c r="K182" s="19">
        <f>IF(AND(A182="",C182="",D182=""),"",IF(A182="","Missing the date in column A",IF(OR(C182="",D182=""),IF(I182="Bracket","OK - bracket TBD","Missing a team"),IF(C182=D182,"Same team twice",IF(AND(COUNTIF(Teams!$B$5:$B$204,C182)=0,NOT(SUMPRODUCT(--ISNUMBER(SEARCH(","&amp;C182&amp;",",","&amp;SUBSTITUTE(SUBSTITUTE(Teams!$E$5:$E$204,", ",",")," ,",",")&amp;",")))&gt;0)),"Away team not on Teams tab",IF(AND(COUNTIF(Teams!$B$5:$B$204,D182)=0,NOT(SUMPRODUCT(--ISNUMBER(SEARCH(","&amp;D182&amp;",",","&amp;SUBSTITUTE(SUBSTITUTE(Teams!$E$5:$E$204,", ",",")," ,",",")&amp;",")))&gt;0)),"Home team not on Teams tab",IF(AND(E182&lt;&gt;"",F182=""),"Only one score entered",IF(AND(F182&lt;&gt;"",E182=""),"Only one score entered","OK"))))))))</f>
        <v/>
      </c>
    </row>
    <row r="183">
      <c r="A183" s="16" t="n"/>
      <c r="B183" s="17" t="n"/>
      <c r="C183" s="12" t="n"/>
      <c r="D183" s="12" t="n"/>
      <c r="E183" s="18" t="n"/>
      <c r="F183" s="18" t="n"/>
      <c r="G183" s="13" t="n"/>
      <c r="H183" s="13" t="n"/>
      <c r="I183" s="13" t="n"/>
      <c r="J183" s="13" t="n"/>
      <c r="K183" s="19">
        <f>IF(AND(A183="",C183="",D183=""),"",IF(A183="","Missing the date in column A",IF(OR(C183="",D183=""),IF(I183="Bracket","OK - bracket TBD","Missing a team"),IF(C183=D183,"Same team twice",IF(AND(COUNTIF(Teams!$B$5:$B$204,C183)=0,NOT(SUMPRODUCT(--ISNUMBER(SEARCH(","&amp;C183&amp;",",","&amp;SUBSTITUTE(SUBSTITUTE(Teams!$E$5:$E$204,", ",",")," ,",",")&amp;",")))&gt;0)),"Away team not on Teams tab",IF(AND(COUNTIF(Teams!$B$5:$B$204,D183)=0,NOT(SUMPRODUCT(--ISNUMBER(SEARCH(","&amp;D183&amp;",",","&amp;SUBSTITUTE(SUBSTITUTE(Teams!$E$5:$E$204,", ",",")," ,",",")&amp;",")))&gt;0)),"Home team not on Teams tab",IF(AND(E183&lt;&gt;"",F183=""),"Only one score entered",IF(AND(F183&lt;&gt;"",E183=""),"Only one score entered","OK"))))))))</f>
        <v/>
      </c>
    </row>
    <row r="184">
      <c r="A184" s="16" t="n"/>
      <c r="B184" s="17" t="n"/>
      <c r="C184" s="12" t="n"/>
      <c r="D184" s="12" t="n"/>
      <c r="E184" s="18" t="n"/>
      <c r="F184" s="18" t="n"/>
      <c r="G184" s="13" t="n"/>
      <c r="H184" s="13" t="n"/>
      <c r="I184" s="13" t="n"/>
      <c r="J184" s="13" t="n"/>
      <c r="K184" s="19">
        <f>IF(AND(A184="",C184="",D184=""),"",IF(A184="","Missing the date in column A",IF(OR(C184="",D184=""),IF(I184="Bracket","OK - bracket TBD","Missing a team"),IF(C184=D184,"Same team twice",IF(AND(COUNTIF(Teams!$B$5:$B$204,C184)=0,NOT(SUMPRODUCT(--ISNUMBER(SEARCH(","&amp;C184&amp;",",","&amp;SUBSTITUTE(SUBSTITUTE(Teams!$E$5:$E$204,", ",",")," ,",",")&amp;",")))&gt;0)),"Away team not on Teams tab",IF(AND(COUNTIF(Teams!$B$5:$B$204,D184)=0,NOT(SUMPRODUCT(--ISNUMBER(SEARCH(","&amp;D184&amp;",",","&amp;SUBSTITUTE(SUBSTITUTE(Teams!$E$5:$E$204,", ",",")," ,",",")&amp;",")))&gt;0)),"Home team not on Teams tab",IF(AND(E184&lt;&gt;"",F184=""),"Only one score entered",IF(AND(F184&lt;&gt;"",E184=""),"Only one score entered","OK"))))))))</f>
        <v/>
      </c>
    </row>
    <row r="185">
      <c r="A185" s="16" t="n"/>
      <c r="B185" s="17" t="n"/>
      <c r="C185" s="12" t="n"/>
      <c r="D185" s="12" t="n"/>
      <c r="E185" s="18" t="n"/>
      <c r="F185" s="18" t="n"/>
      <c r="G185" s="13" t="n"/>
      <c r="H185" s="13" t="n"/>
      <c r="I185" s="13" t="n"/>
      <c r="J185" s="13" t="n"/>
      <c r="K185" s="19">
        <f>IF(AND(A185="",C185="",D185=""),"",IF(A185="","Missing the date in column A",IF(OR(C185="",D185=""),IF(I185="Bracket","OK - bracket TBD","Missing a team"),IF(C185=D185,"Same team twice",IF(AND(COUNTIF(Teams!$B$5:$B$204,C185)=0,NOT(SUMPRODUCT(--ISNUMBER(SEARCH(","&amp;C185&amp;",",","&amp;SUBSTITUTE(SUBSTITUTE(Teams!$E$5:$E$204,", ",",")," ,",",")&amp;",")))&gt;0)),"Away team not on Teams tab",IF(AND(COUNTIF(Teams!$B$5:$B$204,D185)=0,NOT(SUMPRODUCT(--ISNUMBER(SEARCH(","&amp;D185&amp;",",","&amp;SUBSTITUTE(SUBSTITUTE(Teams!$E$5:$E$204,", ",",")," ,",",")&amp;",")))&gt;0)),"Home team not on Teams tab",IF(AND(E185&lt;&gt;"",F185=""),"Only one score entered",IF(AND(F185&lt;&gt;"",E185=""),"Only one score entered","OK"))))))))</f>
        <v/>
      </c>
    </row>
    <row r="186">
      <c r="A186" s="16" t="n"/>
      <c r="B186" s="17" t="n"/>
      <c r="C186" s="12" t="n"/>
      <c r="D186" s="12" t="n"/>
      <c r="E186" s="18" t="n"/>
      <c r="F186" s="18" t="n"/>
      <c r="G186" s="13" t="n"/>
      <c r="H186" s="13" t="n"/>
      <c r="I186" s="13" t="n"/>
      <c r="J186" s="13" t="n"/>
      <c r="K186" s="19">
        <f>IF(AND(A186="",C186="",D186=""),"",IF(A186="","Missing the date in column A",IF(OR(C186="",D186=""),IF(I186="Bracket","OK - bracket TBD","Missing a team"),IF(C186=D186,"Same team twice",IF(AND(COUNTIF(Teams!$B$5:$B$204,C186)=0,NOT(SUMPRODUCT(--ISNUMBER(SEARCH(","&amp;C186&amp;",",","&amp;SUBSTITUTE(SUBSTITUTE(Teams!$E$5:$E$204,", ",",")," ,",",")&amp;",")))&gt;0)),"Away team not on Teams tab",IF(AND(COUNTIF(Teams!$B$5:$B$204,D186)=0,NOT(SUMPRODUCT(--ISNUMBER(SEARCH(","&amp;D186&amp;",",","&amp;SUBSTITUTE(SUBSTITUTE(Teams!$E$5:$E$204,", ",",")," ,",",")&amp;",")))&gt;0)),"Home team not on Teams tab",IF(AND(E186&lt;&gt;"",F186=""),"Only one score entered",IF(AND(F186&lt;&gt;"",E186=""),"Only one score entered","OK"))))))))</f>
        <v/>
      </c>
    </row>
    <row r="187">
      <c r="A187" s="16" t="n"/>
      <c r="B187" s="17" t="n"/>
      <c r="C187" s="12" t="n"/>
      <c r="D187" s="12" t="n"/>
      <c r="E187" s="18" t="n"/>
      <c r="F187" s="18" t="n"/>
      <c r="G187" s="13" t="n"/>
      <c r="H187" s="13" t="n"/>
      <c r="I187" s="13" t="n"/>
      <c r="J187" s="13" t="n"/>
      <c r="K187" s="19">
        <f>IF(AND(A187="",C187="",D187=""),"",IF(A187="","Missing the date in column A",IF(OR(C187="",D187=""),IF(I187="Bracket","OK - bracket TBD","Missing a team"),IF(C187=D187,"Same team twice",IF(AND(COUNTIF(Teams!$B$5:$B$204,C187)=0,NOT(SUMPRODUCT(--ISNUMBER(SEARCH(","&amp;C187&amp;",",","&amp;SUBSTITUTE(SUBSTITUTE(Teams!$E$5:$E$204,", ",",")," ,",",")&amp;",")))&gt;0)),"Away team not on Teams tab",IF(AND(COUNTIF(Teams!$B$5:$B$204,D187)=0,NOT(SUMPRODUCT(--ISNUMBER(SEARCH(","&amp;D187&amp;",",","&amp;SUBSTITUTE(SUBSTITUTE(Teams!$E$5:$E$204,", ",",")," ,",",")&amp;",")))&gt;0)),"Home team not on Teams tab",IF(AND(E187&lt;&gt;"",F187=""),"Only one score entered",IF(AND(F187&lt;&gt;"",E187=""),"Only one score entered","OK"))))))))</f>
        <v/>
      </c>
    </row>
    <row r="188">
      <c r="A188" s="16" t="n"/>
      <c r="B188" s="17" t="n"/>
      <c r="C188" s="12" t="n"/>
      <c r="D188" s="12" t="n"/>
      <c r="E188" s="18" t="n"/>
      <c r="F188" s="18" t="n"/>
      <c r="G188" s="13" t="n"/>
      <c r="H188" s="13" t="n"/>
      <c r="I188" s="13" t="n"/>
      <c r="J188" s="13" t="n"/>
      <c r="K188" s="19">
        <f>IF(AND(A188="",C188="",D188=""),"",IF(A188="","Missing the date in column A",IF(OR(C188="",D188=""),IF(I188="Bracket","OK - bracket TBD","Missing a team"),IF(C188=D188,"Same team twice",IF(AND(COUNTIF(Teams!$B$5:$B$204,C188)=0,NOT(SUMPRODUCT(--ISNUMBER(SEARCH(","&amp;C188&amp;",",","&amp;SUBSTITUTE(SUBSTITUTE(Teams!$E$5:$E$204,", ",",")," ,",",")&amp;",")))&gt;0)),"Away team not on Teams tab",IF(AND(COUNTIF(Teams!$B$5:$B$204,D188)=0,NOT(SUMPRODUCT(--ISNUMBER(SEARCH(","&amp;D188&amp;",",","&amp;SUBSTITUTE(SUBSTITUTE(Teams!$E$5:$E$204,", ",",")," ,",",")&amp;",")))&gt;0)),"Home team not on Teams tab",IF(AND(E188&lt;&gt;"",F188=""),"Only one score entered",IF(AND(F188&lt;&gt;"",E188=""),"Only one score entered","OK"))))))))</f>
        <v/>
      </c>
    </row>
    <row r="189">
      <c r="A189" s="16" t="n"/>
      <c r="B189" s="17" t="n"/>
      <c r="C189" s="12" t="n"/>
      <c r="D189" s="12" t="n"/>
      <c r="E189" s="18" t="n"/>
      <c r="F189" s="18" t="n"/>
      <c r="G189" s="13" t="n"/>
      <c r="H189" s="13" t="n"/>
      <c r="I189" s="13" t="n"/>
      <c r="J189" s="13" t="n"/>
      <c r="K189" s="19">
        <f>IF(AND(A189="",C189="",D189=""),"",IF(A189="","Missing the date in column A",IF(OR(C189="",D189=""),IF(I189="Bracket","OK - bracket TBD","Missing a team"),IF(C189=D189,"Same team twice",IF(AND(COUNTIF(Teams!$B$5:$B$204,C189)=0,NOT(SUMPRODUCT(--ISNUMBER(SEARCH(","&amp;C189&amp;",",","&amp;SUBSTITUTE(SUBSTITUTE(Teams!$E$5:$E$204,", ",",")," ,",",")&amp;",")))&gt;0)),"Away team not on Teams tab",IF(AND(COUNTIF(Teams!$B$5:$B$204,D189)=0,NOT(SUMPRODUCT(--ISNUMBER(SEARCH(","&amp;D189&amp;",",","&amp;SUBSTITUTE(SUBSTITUTE(Teams!$E$5:$E$204,", ",",")," ,",",")&amp;",")))&gt;0)),"Home team not on Teams tab",IF(AND(E189&lt;&gt;"",F189=""),"Only one score entered",IF(AND(F189&lt;&gt;"",E189=""),"Only one score entered","OK"))))))))</f>
        <v/>
      </c>
    </row>
    <row r="190">
      <c r="A190" s="16" t="n"/>
      <c r="B190" s="17" t="n"/>
      <c r="C190" s="12" t="n"/>
      <c r="D190" s="12" t="n"/>
      <c r="E190" s="18" t="n"/>
      <c r="F190" s="18" t="n"/>
      <c r="G190" s="13" t="n"/>
      <c r="H190" s="13" t="n"/>
      <c r="I190" s="13" t="n"/>
      <c r="J190" s="13" t="n"/>
      <c r="K190" s="19">
        <f>IF(AND(A190="",C190="",D190=""),"",IF(A190="","Missing the date in column A",IF(OR(C190="",D190=""),IF(I190="Bracket","OK - bracket TBD","Missing a team"),IF(C190=D190,"Same team twice",IF(AND(COUNTIF(Teams!$B$5:$B$204,C190)=0,NOT(SUMPRODUCT(--ISNUMBER(SEARCH(","&amp;C190&amp;",",","&amp;SUBSTITUTE(SUBSTITUTE(Teams!$E$5:$E$204,", ",",")," ,",",")&amp;",")))&gt;0)),"Away team not on Teams tab",IF(AND(COUNTIF(Teams!$B$5:$B$204,D190)=0,NOT(SUMPRODUCT(--ISNUMBER(SEARCH(","&amp;D190&amp;",",","&amp;SUBSTITUTE(SUBSTITUTE(Teams!$E$5:$E$204,", ",",")," ,",",")&amp;",")))&gt;0)),"Home team not on Teams tab",IF(AND(E190&lt;&gt;"",F190=""),"Only one score entered",IF(AND(F190&lt;&gt;"",E190=""),"Only one score entered","OK"))))))))</f>
        <v/>
      </c>
    </row>
    <row r="191">
      <c r="A191" s="16" t="n"/>
      <c r="B191" s="17" t="n"/>
      <c r="C191" s="12" t="n"/>
      <c r="D191" s="12" t="n"/>
      <c r="E191" s="18" t="n"/>
      <c r="F191" s="18" t="n"/>
      <c r="G191" s="13" t="n"/>
      <c r="H191" s="13" t="n"/>
      <c r="I191" s="13" t="n"/>
      <c r="J191" s="13" t="n"/>
      <c r="K191" s="19">
        <f>IF(AND(A191="",C191="",D191=""),"",IF(A191="","Missing the date in column A",IF(OR(C191="",D191=""),IF(I191="Bracket","OK - bracket TBD","Missing a team"),IF(C191=D191,"Same team twice",IF(AND(COUNTIF(Teams!$B$5:$B$204,C191)=0,NOT(SUMPRODUCT(--ISNUMBER(SEARCH(","&amp;C191&amp;",",","&amp;SUBSTITUTE(SUBSTITUTE(Teams!$E$5:$E$204,", ",",")," ,",",")&amp;",")))&gt;0)),"Away team not on Teams tab",IF(AND(COUNTIF(Teams!$B$5:$B$204,D191)=0,NOT(SUMPRODUCT(--ISNUMBER(SEARCH(","&amp;D191&amp;",",","&amp;SUBSTITUTE(SUBSTITUTE(Teams!$E$5:$E$204,", ",",")," ,",",")&amp;",")))&gt;0)),"Home team not on Teams tab",IF(AND(E191&lt;&gt;"",F191=""),"Only one score entered",IF(AND(F191&lt;&gt;"",E191=""),"Only one score entered","OK"))))))))</f>
        <v/>
      </c>
    </row>
    <row r="192">
      <c r="A192" s="16" t="n"/>
      <c r="B192" s="17" t="n"/>
      <c r="C192" s="12" t="n"/>
      <c r="D192" s="12" t="n"/>
      <c r="E192" s="18" t="n"/>
      <c r="F192" s="18" t="n"/>
      <c r="G192" s="13" t="n"/>
      <c r="H192" s="13" t="n"/>
      <c r="I192" s="13" t="n"/>
      <c r="J192" s="13" t="n"/>
      <c r="K192" s="19">
        <f>IF(AND(A192="",C192="",D192=""),"",IF(A192="","Missing the date in column A",IF(OR(C192="",D192=""),IF(I192="Bracket","OK - bracket TBD","Missing a team"),IF(C192=D192,"Same team twice",IF(AND(COUNTIF(Teams!$B$5:$B$204,C192)=0,NOT(SUMPRODUCT(--ISNUMBER(SEARCH(","&amp;C192&amp;",",","&amp;SUBSTITUTE(SUBSTITUTE(Teams!$E$5:$E$204,", ",",")," ,",",")&amp;",")))&gt;0)),"Away team not on Teams tab",IF(AND(COUNTIF(Teams!$B$5:$B$204,D192)=0,NOT(SUMPRODUCT(--ISNUMBER(SEARCH(","&amp;D192&amp;",",","&amp;SUBSTITUTE(SUBSTITUTE(Teams!$E$5:$E$204,", ",",")," ,",",")&amp;",")))&gt;0)),"Home team not on Teams tab",IF(AND(E192&lt;&gt;"",F192=""),"Only one score entered",IF(AND(F192&lt;&gt;"",E192=""),"Only one score entered","OK"))))))))</f>
        <v/>
      </c>
    </row>
    <row r="193">
      <c r="A193" s="16" t="n"/>
      <c r="B193" s="17" t="n"/>
      <c r="C193" s="12" t="n"/>
      <c r="D193" s="12" t="n"/>
      <c r="E193" s="18" t="n"/>
      <c r="F193" s="18" t="n"/>
      <c r="G193" s="13" t="n"/>
      <c r="H193" s="13" t="n"/>
      <c r="I193" s="13" t="n"/>
      <c r="J193" s="13" t="n"/>
      <c r="K193" s="19">
        <f>IF(AND(A193="",C193="",D193=""),"",IF(A193="","Missing the date in column A",IF(OR(C193="",D193=""),IF(I193="Bracket","OK - bracket TBD","Missing a team"),IF(C193=D193,"Same team twice",IF(AND(COUNTIF(Teams!$B$5:$B$204,C193)=0,NOT(SUMPRODUCT(--ISNUMBER(SEARCH(","&amp;C193&amp;",",","&amp;SUBSTITUTE(SUBSTITUTE(Teams!$E$5:$E$204,", ",",")," ,",",")&amp;",")))&gt;0)),"Away team not on Teams tab",IF(AND(COUNTIF(Teams!$B$5:$B$204,D193)=0,NOT(SUMPRODUCT(--ISNUMBER(SEARCH(","&amp;D193&amp;",",","&amp;SUBSTITUTE(SUBSTITUTE(Teams!$E$5:$E$204,", ",",")," ,",",")&amp;",")))&gt;0)),"Home team not on Teams tab",IF(AND(E193&lt;&gt;"",F193=""),"Only one score entered",IF(AND(F193&lt;&gt;"",E193=""),"Only one score entered","OK"))))))))</f>
        <v/>
      </c>
    </row>
    <row r="194">
      <c r="A194" s="16" t="n"/>
      <c r="B194" s="17" t="n"/>
      <c r="C194" s="12" t="n"/>
      <c r="D194" s="12" t="n"/>
      <c r="E194" s="18" t="n"/>
      <c r="F194" s="18" t="n"/>
      <c r="G194" s="13" t="n"/>
      <c r="H194" s="13" t="n"/>
      <c r="I194" s="13" t="n"/>
      <c r="J194" s="13" t="n"/>
      <c r="K194" s="19">
        <f>IF(AND(A194="",C194="",D194=""),"",IF(A194="","Missing the date in column A",IF(OR(C194="",D194=""),IF(I194="Bracket","OK - bracket TBD","Missing a team"),IF(C194=D194,"Same team twice",IF(AND(COUNTIF(Teams!$B$5:$B$204,C194)=0,NOT(SUMPRODUCT(--ISNUMBER(SEARCH(","&amp;C194&amp;",",","&amp;SUBSTITUTE(SUBSTITUTE(Teams!$E$5:$E$204,", ",",")," ,",",")&amp;",")))&gt;0)),"Away team not on Teams tab",IF(AND(COUNTIF(Teams!$B$5:$B$204,D194)=0,NOT(SUMPRODUCT(--ISNUMBER(SEARCH(","&amp;D194&amp;",",","&amp;SUBSTITUTE(SUBSTITUTE(Teams!$E$5:$E$204,", ",",")," ,",",")&amp;",")))&gt;0)),"Home team not on Teams tab",IF(AND(E194&lt;&gt;"",F194=""),"Only one score entered",IF(AND(F194&lt;&gt;"",E194=""),"Only one score entered","OK"))))))))</f>
        <v/>
      </c>
    </row>
    <row r="195">
      <c r="A195" s="16" t="n"/>
      <c r="B195" s="17" t="n"/>
      <c r="C195" s="12" t="n"/>
      <c r="D195" s="12" t="n"/>
      <c r="E195" s="18" t="n"/>
      <c r="F195" s="18" t="n"/>
      <c r="G195" s="13" t="n"/>
      <c r="H195" s="13" t="n"/>
      <c r="I195" s="13" t="n"/>
      <c r="J195" s="13" t="n"/>
      <c r="K195" s="19">
        <f>IF(AND(A195="",C195="",D195=""),"",IF(A195="","Missing the date in column A",IF(OR(C195="",D195=""),IF(I195="Bracket","OK - bracket TBD","Missing a team"),IF(C195=D195,"Same team twice",IF(AND(COUNTIF(Teams!$B$5:$B$204,C195)=0,NOT(SUMPRODUCT(--ISNUMBER(SEARCH(","&amp;C195&amp;",",","&amp;SUBSTITUTE(SUBSTITUTE(Teams!$E$5:$E$204,", ",",")," ,",",")&amp;",")))&gt;0)),"Away team not on Teams tab",IF(AND(COUNTIF(Teams!$B$5:$B$204,D195)=0,NOT(SUMPRODUCT(--ISNUMBER(SEARCH(","&amp;D195&amp;",",","&amp;SUBSTITUTE(SUBSTITUTE(Teams!$E$5:$E$204,", ",",")," ,",",")&amp;",")))&gt;0)),"Home team not on Teams tab",IF(AND(E195&lt;&gt;"",F195=""),"Only one score entered",IF(AND(F195&lt;&gt;"",E195=""),"Only one score entered","OK"))))))))</f>
        <v/>
      </c>
    </row>
    <row r="196">
      <c r="A196" s="16" t="n"/>
      <c r="B196" s="17" t="n"/>
      <c r="C196" s="12" t="n"/>
      <c r="D196" s="12" t="n"/>
      <c r="E196" s="18" t="n"/>
      <c r="F196" s="18" t="n"/>
      <c r="G196" s="13" t="n"/>
      <c r="H196" s="13" t="n"/>
      <c r="I196" s="13" t="n"/>
      <c r="J196" s="13" t="n"/>
      <c r="K196" s="19">
        <f>IF(AND(A196="",C196="",D196=""),"",IF(A196="","Missing the date in column A",IF(OR(C196="",D196=""),IF(I196="Bracket","OK - bracket TBD","Missing a team"),IF(C196=D196,"Same team twice",IF(AND(COUNTIF(Teams!$B$5:$B$204,C196)=0,NOT(SUMPRODUCT(--ISNUMBER(SEARCH(","&amp;C196&amp;",",","&amp;SUBSTITUTE(SUBSTITUTE(Teams!$E$5:$E$204,", ",",")," ,",",")&amp;",")))&gt;0)),"Away team not on Teams tab",IF(AND(COUNTIF(Teams!$B$5:$B$204,D196)=0,NOT(SUMPRODUCT(--ISNUMBER(SEARCH(","&amp;D196&amp;",",","&amp;SUBSTITUTE(SUBSTITUTE(Teams!$E$5:$E$204,", ",",")," ,",",")&amp;",")))&gt;0)),"Home team not on Teams tab",IF(AND(E196&lt;&gt;"",F196=""),"Only one score entered",IF(AND(F196&lt;&gt;"",E196=""),"Only one score entered","OK"))))))))</f>
        <v/>
      </c>
    </row>
    <row r="197">
      <c r="A197" s="16" t="n"/>
      <c r="B197" s="17" t="n"/>
      <c r="C197" s="12" t="n"/>
      <c r="D197" s="12" t="n"/>
      <c r="E197" s="18" t="n"/>
      <c r="F197" s="18" t="n"/>
      <c r="G197" s="13" t="n"/>
      <c r="H197" s="13" t="n"/>
      <c r="I197" s="13" t="n"/>
      <c r="J197" s="13" t="n"/>
      <c r="K197" s="19">
        <f>IF(AND(A197="",C197="",D197=""),"",IF(A197="","Missing the date in column A",IF(OR(C197="",D197=""),IF(I197="Bracket","OK - bracket TBD","Missing a team"),IF(C197=D197,"Same team twice",IF(AND(COUNTIF(Teams!$B$5:$B$204,C197)=0,NOT(SUMPRODUCT(--ISNUMBER(SEARCH(","&amp;C197&amp;",",","&amp;SUBSTITUTE(SUBSTITUTE(Teams!$E$5:$E$204,", ",",")," ,",",")&amp;",")))&gt;0)),"Away team not on Teams tab",IF(AND(COUNTIF(Teams!$B$5:$B$204,D197)=0,NOT(SUMPRODUCT(--ISNUMBER(SEARCH(","&amp;D197&amp;",",","&amp;SUBSTITUTE(SUBSTITUTE(Teams!$E$5:$E$204,", ",",")," ,",",")&amp;",")))&gt;0)),"Home team not on Teams tab",IF(AND(E197&lt;&gt;"",F197=""),"Only one score entered",IF(AND(F197&lt;&gt;"",E197=""),"Only one score entered","OK"))))))))</f>
        <v/>
      </c>
    </row>
    <row r="198">
      <c r="A198" s="16" t="n"/>
      <c r="B198" s="17" t="n"/>
      <c r="C198" s="12" t="n"/>
      <c r="D198" s="12" t="n"/>
      <c r="E198" s="18" t="n"/>
      <c r="F198" s="18" t="n"/>
      <c r="G198" s="13" t="n"/>
      <c r="H198" s="13" t="n"/>
      <c r="I198" s="13" t="n"/>
      <c r="J198" s="13" t="n"/>
      <c r="K198" s="19">
        <f>IF(AND(A198="",C198="",D198=""),"",IF(A198="","Missing the date in column A",IF(OR(C198="",D198=""),IF(I198="Bracket","OK - bracket TBD","Missing a team"),IF(C198=D198,"Same team twice",IF(AND(COUNTIF(Teams!$B$5:$B$204,C198)=0,NOT(SUMPRODUCT(--ISNUMBER(SEARCH(","&amp;C198&amp;",",","&amp;SUBSTITUTE(SUBSTITUTE(Teams!$E$5:$E$204,", ",",")," ,",",")&amp;",")))&gt;0)),"Away team not on Teams tab",IF(AND(COUNTIF(Teams!$B$5:$B$204,D198)=0,NOT(SUMPRODUCT(--ISNUMBER(SEARCH(","&amp;D198&amp;",",","&amp;SUBSTITUTE(SUBSTITUTE(Teams!$E$5:$E$204,", ",",")," ,",",")&amp;",")))&gt;0)),"Home team not on Teams tab",IF(AND(E198&lt;&gt;"",F198=""),"Only one score entered",IF(AND(F198&lt;&gt;"",E198=""),"Only one score entered","OK"))))))))</f>
        <v/>
      </c>
    </row>
    <row r="199">
      <c r="A199" s="16" t="n"/>
      <c r="B199" s="17" t="n"/>
      <c r="C199" s="12" t="n"/>
      <c r="D199" s="12" t="n"/>
      <c r="E199" s="18" t="n"/>
      <c r="F199" s="18" t="n"/>
      <c r="G199" s="13" t="n"/>
      <c r="H199" s="13" t="n"/>
      <c r="I199" s="13" t="n"/>
      <c r="J199" s="13" t="n"/>
      <c r="K199" s="19">
        <f>IF(AND(A199="",C199="",D199=""),"",IF(A199="","Missing the date in column A",IF(OR(C199="",D199=""),IF(I199="Bracket","OK - bracket TBD","Missing a team"),IF(C199=D199,"Same team twice",IF(AND(COUNTIF(Teams!$B$5:$B$204,C199)=0,NOT(SUMPRODUCT(--ISNUMBER(SEARCH(","&amp;C199&amp;",",","&amp;SUBSTITUTE(SUBSTITUTE(Teams!$E$5:$E$204,", ",",")," ,",",")&amp;",")))&gt;0)),"Away team not on Teams tab",IF(AND(COUNTIF(Teams!$B$5:$B$204,D199)=0,NOT(SUMPRODUCT(--ISNUMBER(SEARCH(","&amp;D199&amp;",",","&amp;SUBSTITUTE(SUBSTITUTE(Teams!$E$5:$E$204,", ",",")," ,",",")&amp;",")))&gt;0)),"Home team not on Teams tab",IF(AND(E199&lt;&gt;"",F199=""),"Only one score entered",IF(AND(F199&lt;&gt;"",E199=""),"Only one score entered","OK"))))))))</f>
        <v/>
      </c>
    </row>
    <row r="200">
      <c r="A200" s="16" t="n"/>
      <c r="B200" s="17" t="n"/>
      <c r="C200" s="12" t="n"/>
      <c r="D200" s="12" t="n"/>
      <c r="E200" s="18" t="n"/>
      <c r="F200" s="18" t="n"/>
      <c r="G200" s="13" t="n"/>
      <c r="H200" s="13" t="n"/>
      <c r="I200" s="13" t="n"/>
      <c r="J200" s="13" t="n"/>
      <c r="K200" s="19">
        <f>IF(AND(A200="",C200="",D200=""),"",IF(A200="","Missing the date in column A",IF(OR(C200="",D200=""),IF(I200="Bracket","OK - bracket TBD","Missing a team"),IF(C200=D200,"Same team twice",IF(AND(COUNTIF(Teams!$B$5:$B$204,C200)=0,NOT(SUMPRODUCT(--ISNUMBER(SEARCH(","&amp;C200&amp;",",","&amp;SUBSTITUTE(SUBSTITUTE(Teams!$E$5:$E$204,", ",",")," ,",",")&amp;",")))&gt;0)),"Away team not on Teams tab",IF(AND(COUNTIF(Teams!$B$5:$B$204,D200)=0,NOT(SUMPRODUCT(--ISNUMBER(SEARCH(","&amp;D200&amp;",",","&amp;SUBSTITUTE(SUBSTITUTE(Teams!$E$5:$E$204,", ",",")," ,",",")&amp;",")))&gt;0)),"Home team not on Teams tab",IF(AND(E200&lt;&gt;"",F200=""),"Only one score entered",IF(AND(F200&lt;&gt;"",E200=""),"Only one score entered","OK"))))))))</f>
        <v/>
      </c>
    </row>
    <row r="201">
      <c r="A201" s="16" t="n"/>
      <c r="B201" s="17" t="n"/>
      <c r="C201" s="12" t="n"/>
      <c r="D201" s="12" t="n"/>
      <c r="E201" s="18" t="n"/>
      <c r="F201" s="18" t="n"/>
      <c r="G201" s="13" t="n"/>
      <c r="H201" s="13" t="n"/>
      <c r="I201" s="13" t="n"/>
      <c r="J201" s="13" t="n"/>
      <c r="K201" s="19">
        <f>IF(AND(A201="",C201="",D201=""),"",IF(A201="","Missing the date in column A",IF(OR(C201="",D201=""),IF(I201="Bracket","OK - bracket TBD","Missing a team"),IF(C201=D201,"Same team twice",IF(AND(COUNTIF(Teams!$B$5:$B$204,C201)=0,NOT(SUMPRODUCT(--ISNUMBER(SEARCH(","&amp;C201&amp;",",","&amp;SUBSTITUTE(SUBSTITUTE(Teams!$E$5:$E$204,", ",",")," ,",",")&amp;",")))&gt;0)),"Away team not on Teams tab",IF(AND(COUNTIF(Teams!$B$5:$B$204,D201)=0,NOT(SUMPRODUCT(--ISNUMBER(SEARCH(","&amp;D201&amp;",",","&amp;SUBSTITUTE(SUBSTITUTE(Teams!$E$5:$E$204,", ",",")," ,",",")&amp;",")))&gt;0)),"Home team not on Teams tab",IF(AND(E201&lt;&gt;"",F201=""),"Only one score entered",IF(AND(F201&lt;&gt;"",E201=""),"Only one score entered","OK"))))))))</f>
        <v/>
      </c>
    </row>
    <row r="202">
      <c r="A202" s="16" t="n"/>
      <c r="B202" s="17" t="n"/>
      <c r="C202" s="12" t="n"/>
      <c r="D202" s="12" t="n"/>
      <c r="E202" s="18" t="n"/>
      <c r="F202" s="18" t="n"/>
      <c r="G202" s="13" t="n"/>
      <c r="H202" s="13" t="n"/>
      <c r="I202" s="13" t="n"/>
      <c r="J202" s="13" t="n"/>
      <c r="K202" s="19">
        <f>IF(AND(A202="",C202="",D202=""),"",IF(A202="","Missing the date in column A",IF(OR(C202="",D202=""),IF(I202="Bracket","OK - bracket TBD","Missing a team"),IF(C202=D202,"Same team twice",IF(AND(COUNTIF(Teams!$B$5:$B$204,C202)=0,NOT(SUMPRODUCT(--ISNUMBER(SEARCH(","&amp;C202&amp;",",","&amp;SUBSTITUTE(SUBSTITUTE(Teams!$E$5:$E$204,", ",",")," ,",",")&amp;",")))&gt;0)),"Away team not on Teams tab",IF(AND(COUNTIF(Teams!$B$5:$B$204,D202)=0,NOT(SUMPRODUCT(--ISNUMBER(SEARCH(","&amp;D202&amp;",",","&amp;SUBSTITUTE(SUBSTITUTE(Teams!$E$5:$E$204,", ",",")," ,",",")&amp;",")))&gt;0)),"Home team not on Teams tab",IF(AND(E202&lt;&gt;"",F202=""),"Only one score entered",IF(AND(F202&lt;&gt;"",E202=""),"Only one score entered","OK"))))))))</f>
        <v/>
      </c>
    </row>
    <row r="203">
      <c r="A203" s="16" t="n"/>
      <c r="B203" s="17" t="n"/>
      <c r="C203" s="12" t="n"/>
      <c r="D203" s="12" t="n"/>
      <c r="E203" s="18" t="n"/>
      <c r="F203" s="18" t="n"/>
      <c r="G203" s="13" t="n"/>
      <c r="H203" s="13" t="n"/>
      <c r="I203" s="13" t="n"/>
      <c r="J203" s="13" t="n"/>
      <c r="K203" s="19">
        <f>IF(AND(A203="",C203="",D203=""),"",IF(A203="","Missing the date in column A",IF(OR(C203="",D203=""),IF(I203="Bracket","OK - bracket TBD","Missing a team"),IF(C203=D203,"Same team twice",IF(AND(COUNTIF(Teams!$B$5:$B$204,C203)=0,NOT(SUMPRODUCT(--ISNUMBER(SEARCH(","&amp;C203&amp;",",","&amp;SUBSTITUTE(SUBSTITUTE(Teams!$E$5:$E$204,", ",",")," ,",",")&amp;",")))&gt;0)),"Away team not on Teams tab",IF(AND(COUNTIF(Teams!$B$5:$B$204,D203)=0,NOT(SUMPRODUCT(--ISNUMBER(SEARCH(","&amp;D203&amp;",",","&amp;SUBSTITUTE(SUBSTITUTE(Teams!$E$5:$E$204,", ",",")," ,",",")&amp;",")))&gt;0)),"Home team not on Teams tab",IF(AND(E203&lt;&gt;"",F203=""),"Only one score entered",IF(AND(F203&lt;&gt;"",E203=""),"Only one score entered","OK"))))))))</f>
        <v/>
      </c>
    </row>
    <row r="204">
      <c r="A204" s="16" t="n"/>
      <c r="B204" s="17" t="n"/>
      <c r="C204" s="12" t="n"/>
      <c r="D204" s="12" t="n"/>
      <c r="E204" s="18" t="n"/>
      <c r="F204" s="18" t="n"/>
      <c r="G204" s="13" t="n"/>
      <c r="H204" s="13" t="n"/>
      <c r="I204" s="13" t="n"/>
      <c r="J204" s="13" t="n"/>
      <c r="K204" s="19">
        <f>IF(AND(A204="",C204="",D204=""),"",IF(A204="","Missing the date in column A",IF(OR(C204="",D204=""),IF(I204="Bracket","OK - bracket TBD","Missing a team"),IF(C204=D204,"Same team twice",IF(AND(COUNTIF(Teams!$B$5:$B$204,C204)=0,NOT(SUMPRODUCT(--ISNUMBER(SEARCH(","&amp;C204&amp;",",","&amp;SUBSTITUTE(SUBSTITUTE(Teams!$E$5:$E$204,", ",",")," ,",",")&amp;",")))&gt;0)),"Away team not on Teams tab",IF(AND(COUNTIF(Teams!$B$5:$B$204,D204)=0,NOT(SUMPRODUCT(--ISNUMBER(SEARCH(","&amp;D204&amp;",",","&amp;SUBSTITUTE(SUBSTITUTE(Teams!$E$5:$E$204,", ",",")," ,",",")&amp;",")))&gt;0)),"Home team not on Teams tab",IF(AND(E204&lt;&gt;"",F204=""),"Only one score entered",IF(AND(F204&lt;&gt;"",E204=""),"Only one score entered","OK"))))))))</f>
        <v/>
      </c>
    </row>
    <row r="205">
      <c r="A205" s="16" t="n"/>
      <c r="B205" s="17" t="n"/>
      <c r="C205" s="12" t="n"/>
      <c r="D205" s="12" t="n"/>
      <c r="E205" s="18" t="n"/>
      <c r="F205" s="18" t="n"/>
      <c r="G205" s="13" t="n"/>
      <c r="H205" s="13" t="n"/>
      <c r="I205" s="13" t="n"/>
      <c r="J205" s="13" t="n"/>
      <c r="K205" s="19">
        <f>IF(AND(A205="",C205="",D205=""),"",IF(A205="","Missing the date in column A",IF(OR(C205="",D205=""),IF(I205="Bracket","OK - bracket TBD","Missing a team"),IF(C205=D205,"Same team twice",IF(AND(COUNTIF(Teams!$B$5:$B$204,C205)=0,NOT(SUMPRODUCT(--ISNUMBER(SEARCH(","&amp;C205&amp;",",","&amp;SUBSTITUTE(SUBSTITUTE(Teams!$E$5:$E$204,", ",",")," ,",",")&amp;",")))&gt;0)),"Away team not on Teams tab",IF(AND(COUNTIF(Teams!$B$5:$B$204,D205)=0,NOT(SUMPRODUCT(--ISNUMBER(SEARCH(","&amp;D205&amp;",",","&amp;SUBSTITUTE(SUBSTITUTE(Teams!$E$5:$E$204,", ",",")," ,",",")&amp;",")))&gt;0)),"Home team not on Teams tab",IF(AND(E205&lt;&gt;"",F205=""),"Only one score entered",IF(AND(F205&lt;&gt;"",E205=""),"Only one score entered","OK"))))))))</f>
        <v/>
      </c>
    </row>
    <row r="206">
      <c r="A206" s="16" t="n"/>
      <c r="B206" s="17" t="n"/>
      <c r="C206" s="12" t="n"/>
      <c r="D206" s="12" t="n"/>
      <c r="E206" s="18" t="n"/>
      <c r="F206" s="18" t="n"/>
      <c r="G206" s="13" t="n"/>
      <c r="H206" s="13" t="n"/>
      <c r="I206" s="13" t="n"/>
      <c r="J206" s="13" t="n"/>
      <c r="K206" s="19">
        <f>IF(AND(A206="",C206="",D206=""),"",IF(A206="","Missing the date in column A",IF(OR(C206="",D206=""),IF(I206="Bracket","OK - bracket TBD","Missing a team"),IF(C206=D206,"Same team twice",IF(AND(COUNTIF(Teams!$B$5:$B$204,C206)=0,NOT(SUMPRODUCT(--ISNUMBER(SEARCH(","&amp;C206&amp;",",","&amp;SUBSTITUTE(SUBSTITUTE(Teams!$E$5:$E$204,", ",",")," ,",",")&amp;",")))&gt;0)),"Away team not on Teams tab",IF(AND(COUNTIF(Teams!$B$5:$B$204,D206)=0,NOT(SUMPRODUCT(--ISNUMBER(SEARCH(","&amp;D206&amp;",",","&amp;SUBSTITUTE(SUBSTITUTE(Teams!$E$5:$E$204,", ",",")," ,",",")&amp;",")))&gt;0)),"Home team not on Teams tab",IF(AND(E206&lt;&gt;"",F206=""),"Only one score entered",IF(AND(F206&lt;&gt;"",E206=""),"Only one score entered","OK"))))))))</f>
        <v/>
      </c>
    </row>
    <row r="207">
      <c r="A207" s="16" t="n"/>
      <c r="B207" s="17" t="n"/>
      <c r="C207" s="12" t="n"/>
      <c r="D207" s="12" t="n"/>
      <c r="E207" s="18" t="n"/>
      <c r="F207" s="18" t="n"/>
      <c r="G207" s="13" t="n"/>
      <c r="H207" s="13" t="n"/>
      <c r="I207" s="13" t="n"/>
      <c r="J207" s="13" t="n"/>
      <c r="K207" s="19">
        <f>IF(AND(A207="",C207="",D207=""),"",IF(A207="","Missing the date in column A",IF(OR(C207="",D207=""),IF(I207="Bracket","OK - bracket TBD","Missing a team"),IF(C207=D207,"Same team twice",IF(AND(COUNTIF(Teams!$B$5:$B$204,C207)=0,NOT(SUMPRODUCT(--ISNUMBER(SEARCH(","&amp;C207&amp;",",","&amp;SUBSTITUTE(SUBSTITUTE(Teams!$E$5:$E$204,", ",",")," ,",",")&amp;",")))&gt;0)),"Away team not on Teams tab",IF(AND(COUNTIF(Teams!$B$5:$B$204,D207)=0,NOT(SUMPRODUCT(--ISNUMBER(SEARCH(","&amp;D207&amp;",",","&amp;SUBSTITUTE(SUBSTITUTE(Teams!$E$5:$E$204,", ",",")," ,",",")&amp;",")))&gt;0)),"Home team not on Teams tab",IF(AND(E207&lt;&gt;"",F207=""),"Only one score entered",IF(AND(F207&lt;&gt;"",E207=""),"Only one score entered","OK"))))))))</f>
        <v/>
      </c>
    </row>
    <row r="208">
      <c r="A208" s="16" t="n"/>
      <c r="B208" s="17" t="n"/>
      <c r="C208" s="12" t="n"/>
      <c r="D208" s="12" t="n"/>
      <c r="E208" s="18" t="n"/>
      <c r="F208" s="18" t="n"/>
      <c r="G208" s="13" t="n"/>
      <c r="H208" s="13" t="n"/>
      <c r="I208" s="13" t="n"/>
      <c r="J208" s="13" t="n"/>
      <c r="K208" s="19">
        <f>IF(AND(A208="",C208="",D208=""),"",IF(A208="","Missing the date in column A",IF(OR(C208="",D208=""),IF(I208="Bracket","OK - bracket TBD","Missing a team"),IF(C208=D208,"Same team twice",IF(AND(COUNTIF(Teams!$B$5:$B$204,C208)=0,NOT(SUMPRODUCT(--ISNUMBER(SEARCH(","&amp;C208&amp;",",","&amp;SUBSTITUTE(SUBSTITUTE(Teams!$E$5:$E$204,", ",",")," ,",",")&amp;",")))&gt;0)),"Away team not on Teams tab",IF(AND(COUNTIF(Teams!$B$5:$B$204,D208)=0,NOT(SUMPRODUCT(--ISNUMBER(SEARCH(","&amp;D208&amp;",",","&amp;SUBSTITUTE(SUBSTITUTE(Teams!$E$5:$E$204,", ",",")," ,",",")&amp;",")))&gt;0)),"Home team not on Teams tab",IF(AND(E208&lt;&gt;"",F208=""),"Only one score entered",IF(AND(F208&lt;&gt;"",E208=""),"Only one score entered","OK"))))))))</f>
        <v/>
      </c>
    </row>
    <row r="209">
      <c r="A209" s="16" t="n"/>
      <c r="B209" s="17" t="n"/>
      <c r="C209" s="12" t="n"/>
      <c r="D209" s="12" t="n"/>
      <c r="E209" s="18" t="n"/>
      <c r="F209" s="18" t="n"/>
      <c r="G209" s="13" t="n"/>
      <c r="H209" s="13" t="n"/>
      <c r="I209" s="13" t="n"/>
      <c r="J209" s="13" t="n"/>
      <c r="K209" s="19">
        <f>IF(AND(A209="",C209="",D209=""),"",IF(A209="","Missing the date in column A",IF(OR(C209="",D209=""),IF(I209="Bracket","OK - bracket TBD","Missing a team"),IF(C209=D209,"Same team twice",IF(AND(COUNTIF(Teams!$B$5:$B$204,C209)=0,NOT(SUMPRODUCT(--ISNUMBER(SEARCH(","&amp;C209&amp;",",","&amp;SUBSTITUTE(SUBSTITUTE(Teams!$E$5:$E$204,", ",",")," ,",",")&amp;",")))&gt;0)),"Away team not on Teams tab",IF(AND(COUNTIF(Teams!$B$5:$B$204,D209)=0,NOT(SUMPRODUCT(--ISNUMBER(SEARCH(","&amp;D209&amp;",",","&amp;SUBSTITUTE(SUBSTITUTE(Teams!$E$5:$E$204,", ",",")," ,",",")&amp;",")))&gt;0)),"Home team not on Teams tab",IF(AND(E209&lt;&gt;"",F209=""),"Only one score entered",IF(AND(F209&lt;&gt;"",E209=""),"Only one score entered","OK"))))))))</f>
        <v/>
      </c>
    </row>
    <row r="210">
      <c r="A210" s="16" t="n"/>
      <c r="B210" s="17" t="n"/>
      <c r="C210" s="12" t="n"/>
      <c r="D210" s="12" t="n"/>
      <c r="E210" s="18" t="n"/>
      <c r="F210" s="18" t="n"/>
      <c r="G210" s="13" t="n"/>
      <c r="H210" s="13" t="n"/>
      <c r="I210" s="13" t="n"/>
      <c r="J210" s="13" t="n"/>
      <c r="K210" s="19">
        <f>IF(AND(A210="",C210="",D210=""),"",IF(A210="","Missing the date in column A",IF(OR(C210="",D210=""),IF(I210="Bracket","OK - bracket TBD","Missing a team"),IF(C210=D210,"Same team twice",IF(AND(COUNTIF(Teams!$B$5:$B$204,C210)=0,NOT(SUMPRODUCT(--ISNUMBER(SEARCH(","&amp;C210&amp;",",","&amp;SUBSTITUTE(SUBSTITUTE(Teams!$E$5:$E$204,", ",",")," ,",",")&amp;",")))&gt;0)),"Away team not on Teams tab",IF(AND(COUNTIF(Teams!$B$5:$B$204,D210)=0,NOT(SUMPRODUCT(--ISNUMBER(SEARCH(","&amp;D210&amp;",",","&amp;SUBSTITUTE(SUBSTITUTE(Teams!$E$5:$E$204,", ",",")," ,",",")&amp;",")))&gt;0)),"Home team not on Teams tab",IF(AND(E210&lt;&gt;"",F210=""),"Only one score entered",IF(AND(F210&lt;&gt;"",E210=""),"Only one score entered","OK"))))))))</f>
        <v/>
      </c>
    </row>
    <row r="211">
      <c r="A211" s="16" t="n"/>
      <c r="B211" s="17" t="n"/>
      <c r="C211" s="12" t="n"/>
      <c r="D211" s="12" t="n"/>
      <c r="E211" s="18" t="n"/>
      <c r="F211" s="18" t="n"/>
      <c r="G211" s="13" t="n"/>
      <c r="H211" s="13" t="n"/>
      <c r="I211" s="13" t="n"/>
      <c r="J211" s="13" t="n"/>
      <c r="K211" s="19">
        <f>IF(AND(A211="",C211="",D211=""),"",IF(A211="","Missing the date in column A",IF(OR(C211="",D211=""),IF(I211="Bracket","OK - bracket TBD","Missing a team"),IF(C211=D211,"Same team twice",IF(AND(COUNTIF(Teams!$B$5:$B$204,C211)=0,NOT(SUMPRODUCT(--ISNUMBER(SEARCH(","&amp;C211&amp;",",","&amp;SUBSTITUTE(SUBSTITUTE(Teams!$E$5:$E$204,", ",",")," ,",",")&amp;",")))&gt;0)),"Away team not on Teams tab",IF(AND(COUNTIF(Teams!$B$5:$B$204,D211)=0,NOT(SUMPRODUCT(--ISNUMBER(SEARCH(","&amp;D211&amp;",",","&amp;SUBSTITUTE(SUBSTITUTE(Teams!$E$5:$E$204,", ",",")," ,",",")&amp;",")))&gt;0)),"Home team not on Teams tab",IF(AND(E211&lt;&gt;"",F211=""),"Only one score entered",IF(AND(F211&lt;&gt;"",E211=""),"Only one score entered","OK"))))))))</f>
        <v/>
      </c>
    </row>
    <row r="212">
      <c r="A212" s="16" t="n"/>
      <c r="B212" s="17" t="n"/>
      <c r="C212" s="12" t="n"/>
      <c r="D212" s="12" t="n"/>
      <c r="E212" s="18" t="n"/>
      <c r="F212" s="18" t="n"/>
      <c r="G212" s="13" t="n"/>
      <c r="H212" s="13" t="n"/>
      <c r="I212" s="13" t="n"/>
      <c r="J212" s="13" t="n"/>
      <c r="K212" s="19">
        <f>IF(AND(A212="",C212="",D212=""),"",IF(A212="","Missing the date in column A",IF(OR(C212="",D212=""),IF(I212="Bracket","OK - bracket TBD","Missing a team"),IF(C212=D212,"Same team twice",IF(AND(COUNTIF(Teams!$B$5:$B$204,C212)=0,NOT(SUMPRODUCT(--ISNUMBER(SEARCH(","&amp;C212&amp;",",","&amp;SUBSTITUTE(SUBSTITUTE(Teams!$E$5:$E$204,", ",",")," ,",",")&amp;",")))&gt;0)),"Away team not on Teams tab",IF(AND(COUNTIF(Teams!$B$5:$B$204,D212)=0,NOT(SUMPRODUCT(--ISNUMBER(SEARCH(","&amp;D212&amp;",",","&amp;SUBSTITUTE(SUBSTITUTE(Teams!$E$5:$E$204,", ",",")," ,",",")&amp;",")))&gt;0)),"Home team not on Teams tab",IF(AND(E212&lt;&gt;"",F212=""),"Only one score entered",IF(AND(F212&lt;&gt;"",E212=""),"Only one score entered","OK"))))))))</f>
        <v/>
      </c>
    </row>
    <row r="213">
      <c r="A213" s="16" t="n"/>
      <c r="B213" s="17" t="n"/>
      <c r="C213" s="12" t="n"/>
      <c r="D213" s="12" t="n"/>
      <c r="E213" s="18" t="n"/>
      <c r="F213" s="18" t="n"/>
      <c r="G213" s="13" t="n"/>
      <c r="H213" s="13" t="n"/>
      <c r="I213" s="13" t="n"/>
      <c r="J213" s="13" t="n"/>
      <c r="K213" s="19">
        <f>IF(AND(A213="",C213="",D213=""),"",IF(A213="","Missing the date in column A",IF(OR(C213="",D213=""),IF(I213="Bracket","OK - bracket TBD","Missing a team"),IF(C213=D213,"Same team twice",IF(AND(COUNTIF(Teams!$B$5:$B$204,C213)=0,NOT(SUMPRODUCT(--ISNUMBER(SEARCH(","&amp;C213&amp;",",","&amp;SUBSTITUTE(SUBSTITUTE(Teams!$E$5:$E$204,", ",",")," ,",",")&amp;",")))&gt;0)),"Away team not on Teams tab",IF(AND(COUNTIF(Teams!$B$5:$B$204,D213)=0,NOT(SUMPRODUCT(--ISNUMBER(SEARCH(","&amp;D213&amp;",",","&amp;SUBSTITUTE(SUBSTITUTE(Teams!$E$5:$E$204,", ",",")," ,",",")&amp;",")))&gt;0)),"Home team not on Teams tab",IF(AND(E213&lt;&gt;"",F213=""),"Only one score entered",IF(AND(F213&lt;&gt;"",E213=""),"Only one score entered","OK"))))))))</f>
        <v/>
      </c>
    </row>
    <row r="214">
      <c r="A214" s="16" t="n"/>
      <c r="B214" s="17" t="n"/>
      <c r="C214" s="12" t="n"/>
      <c r="D214" s="12" t="n"/>
      <c r="E214" s="18" t="n"/>
      <c r="F214" s="18" t="n"/>
      <c r="G214" s="13" t="n"/>
      <c r="H214" s="13" t="n"/>
      <c r="I214" s="13" t="n"/>
      <c r="J214" s="13" t="n"/>
      <c r="K214" s="19">
        <f>IF(AND(A214="",C214="",D214=""),"",IF(A214="","Missing the date in column A",IF(OR(C214="",D214=""),IF(I214="Bracket","OK - bracket TBD","Missing a team"),IF(C214=D214,"Same team twice",IF(AND(COUNTIF(Teams!$B$5:$B$204,C214)=0,NOT(SUMPRODUCT(--ISNUMBER(SEARCH(","&amp;C214&amp;",",","&amp;SUBSTITUTE(SUBSTITUTE(Teams!$E$5:$E$204,", ",",")," ,",",")&amp;",")))&gt;0)),"Away team not on Teams tab",IF(AND(COUNTIF(Teams!$B$5:$B$204,D214)=0,NOT(SUMPRODUCT(--ISNUMBER(SEARCH(","&amp;D214&amp;",",","&amp;SUBSTITUTE(SUBSTITUTE(Teams!$E$5:$E$204,", ",",")," ,",",")&amp;",")))&gt;0)),"Home team not on Teams tab",IF(AND(E214&lt;&gt;"",F214=""),"Only one score entered",IF(AND(F214&lt;&gt;"",E214=""),"Only one score entered","OK"))))))))</f>
        <v/>
      </c>
    </row>
    <row r="215">
      <c r="A215" s="16" t="n"/>
      <c r="B215" s="17" t="n"/>
      <c r="C215" s="12" t="n"/>
      <c r="D215" s="12" t="n"/>
      <c r="E215" s="18" t="n"/>
      <c r="F215" s="18" t="n"/>
      <c r="G215" s="13" t="n"/>
      <c r="H215" s="13" t="n"/>
      <c r="I215" s="13" t="n"/>
      <c r="J215" s="13" t="n"/>
      <c r="K215" s="19">
        <f>IF(AND(A215="",C215="",D215=""),"",IF(A215="","Missing the date in column A",IF(OR(C215="",D215=""),IF(I215="Bracket","OK - bracket TBD","Missing a team"),IF(C215=D215,"Same team twice",IF(AND(COUNTIF(Teams!$B$5:$B$204,C215)=0,NOT(SUMPRODUCT(--ISNUMBER(SEARCH(","&amp;C215&amp;",",","&amp;SUBSTITUTE(SUBSTITUTE(Teams!$E$5:$E$204,", ",",")," ,",",")&amp;",")))&gt;0)),"Away team not on Teams tab",IF(AND(COUNTIF(Teams!$B$5:$B$204,D215)=0,NOT(SUMPRODUCT(--ISNUMBER(SEARCH(","&amp;D215&amp;",",","&amp;SUBSTITUTE(SUBSTITUTE(Teams!$E$5:$E$204,", ",",")," ,",",")&amp;",")))&gt;0)),"Home team not on Teams tab",IF(AND(E215&lt;&gt;"",F215=""),"Only one score entered",IF(AND(F215&lt;&gt;"",E215=""),"Only one score entered","OK"))))))))</f>
        <v/>
      </c>
    </row>
    <row r="216">
      <c r="A216" s="16" t="n"/>
      <c r="B216" s="17" t="n"/>
      <c r="C216" s="12" t="n"/>
      <c r="D216" s="12" t="n"/>
      <c r="E216" s="18" t="n"/>
      <c r="F216" s="18" t="n"/>
      <c r="G216" s="13" t="n"/>
      <c r="H216" s="13" t="n"/>
      <c r="I216" s="13" t="n"/>
      <c r="J216" s="13" t="n"/>
      <c r="K216" s="19">
        <f>IF(AND(A216="",C216="",D216=""),"",IF(A216="","Missing the date in column A",IF(OR(C216="",D216=""),IF(I216="Bracket","OK - bracket TBD","Missing a team"),IF(C216=D216,"Same team twice",IF(AND(COUNTIF(Teams!$B$5:$B$204,C216)=0,NOT(SUMPRODUCT(--ISNUMBER(SEARCH(","&amp;C216&amp;",",","&amp;SUBSTITUTE(SUBSTITUTE(Teams!$E$5:$E$204,", ",",")," ,",",")&amp;",")))&gt;0)),"Away team not on Teams tab",IF(AND(COUNTIF(Teams!$B$5:$B$204,D216)=0,NOT(SUMPRODUCT(--ISNUMBER(SEARCH(","&amp;D216&amp;",",","&amp;SUBSTITUTE(SUBSTITUTE(Teams!$E$5:$E$204,", ",",")," ,",",")&amp;",")))&gt;0)),"Home team not on Teams tab",IF(AND(E216&lt;&gt;"",F216=""),"Only one score entered",IF(AND(F216&lt;&gt;"",E216=""),"Only one score entered","OK"))))))))</f>
        <v/>
      </c>
    </row>
    <row r="217">
      <c r="A217" s="16" t="n"/>
      <c r="B217" s="17" t="n"/>
      <c r="C217" s="12" t="n"/>
      <c r="D217" s="12" t="n"/>
      <c r="E217" s="18" t="n"/>
      <c r="F217" s="18" t="n"/>
      <c r="G217" s="13" t="n"/>
      <c r="H217" s="13" t="n"/>
      <c r="I217" s="13" t="n"/>
      <c r="J217" s="13" t="n"/>
      <c r="K217" s="19">
        <f>IF(AND(A217="",C217="",D217=""),"",IF(A217="","Missing the date in column A",IF(OR(C217="",D217=""),IF(I217="Bracket","OK - bracket TBD","Missing a team"),IF(C217=D217,"Same team twice",IF(AND(COUNTIF(Teams!$B$5:$B$204,C217)=0,NOT(SUMPRODUCT(--ISNUMBER(SEARCH(","&amp;C217&amp;",",","&amp;SUBSTITUTE(SUBSTITUTE(Teams!$E$5:$E$204,", ",",")," ,",",")&amp;",")))&gt;0)),"Away team not on Teams tab",IF(AND(COUNTIF(Teams!$B$5:$B$204,D217)=0,NOT(SUMPRODUCT(--ISNUMBER(SEARCH(","&amp;D217&amp;",",","&amp;SUBSTITUTE(SUBSTITUTE(Teams!$E$5:$E$204,", ",",")," ,",",")&amp;",")))&gt;0)),"Home team not on Teams tab",IF(AND(E217&lt;&gt;"",F217=""),"Only one score entered",IF(AND(F217&lt;&gt;"",E217=""),"Only one score entered","OK"))))))))</f>
        <v/>
      </c>
    </row>
    <row r="218">
      <c r="A218" s="16" t="n"/>
      <c r="B218" s="17" t="n"/>
      <c r="C218" s="12" t="n"/>
      <c r="D218" s="12" t="n"/>
      <c r="E218" s="18" t="n"/>
      <c r="F218" s="18" t="n"/>
      <c r="G218" s="13" t="n"/>
      <c r="H218" s="13" t="n"/>
      <c r="I218" s="13" t="n"/>
      <c r="J218" s="13" t="n"/>
      <c r="K218" s="19">
        <f>IF(AND(A218="",C218="",D218=""),"",IF(A218="","Missing the date in column A",IF(OR(C218="",D218=""),IF(I218="Bracket","OK - bracket TBD","Missing a team"),IF(C218=D218,"Same team twice",IF(AND(COUNTIF(Teams!$B$5:$B$204,C218)=0,NOT(SUMPRODUCT(--ISNUMBER(SEARCH(","&amp;C218&amp;",",","&amp;SUBSTITUTE(SUBSTITUTE(Teams!$E$5:$E$204,", ",",")," ,",",")&amp;",")))&gt;0)),"Away team not on Teams tab",IF(AND(COUNTIF(Teams!$B$5:$B$204,D218)=0,NOT(SUMPRODUCT(--ISNUMBER(SEARCH(","&amp;D218&amp;",",","&amp;SUBSTITUTE(SUBSTITUTE(Teams!$E$5:$E$204,", ",",")," ,",",")&amp;",")))&gt;0)),"Home team not on Teams tab",IF(AND(E218&lt;&gt;"",F218=""),"Only one score entered",IF(AND(F218&lt;&gt;"",E218=""),"Only one score entered","OK"))))))))</f>
        <v/>
      </c>
    </row>
    <row r="219">
      <c r="A219" s="16" t="n"/>
      <c r="B219" s="17" t="n"/>
      <c r="C219" s="12" t="n"/>
      <c r="D219" s="12" t="n"/>
      <c r="E219" s="18" t="n"/>
      <c r="F219" s="18" t="n"/>
      <c r="G219" s="13" t="n"/>
      <c r="H219" s="13" t="n"/>
      <c r="I219" s="13" t="n"/>
      <c r="J219" s="13" t="n"/>
      <c r="K219" s="19">
        <f>IF(AND(A219="",C219="",D219=""),"",IF(A219="","Missing the date in column A",IF(OR(C219="",D219=""),IF(I219="Bracket","OK - bracket TBD","Missing a team"),IF(C219=D219,"Same team twice",IF(AND(COUNTIF(Teams!$B$5:$B$204,C219)=0,NOT(SUMPRODUCT(--ISNUMBER(SEARCH(","&amp;C219&amp;",",","&amp;SUBSTITUTE(SUBSTITUTE(Teams!$E$5:$E$204,", ",",")," ,",",")&amp;",")))&gt;0)),"Away team not on Teams tab",IF(AND(COUNTIF(Teams!$B$5:$B$204,D219)=0,NOT(SUMPRODUCT(--ISNUMBER(SEARCH(","&amp;D219&amp;",",","&amp;SUBSTITUTE(SUBSTITUTE(Teams!$E$5:$E$204,", ",",")," ,",",")&amp;",")))&gt;0)),"Home team not on Teams tab",IF(AND(E219&lt;&gt;"",F219=""),"Only one score entered",IF(AND(F219&lt;&gt;"",E219=""),"Only one score entered","OK"))))))))</f>
        <v/>
      </c>
    </row>
    <row r="220">
      <c r="A220" s="16" t="n"/>
      <c r="B220" s="17" t="n"/>
      <c r="C220" s="12" t="n"/>
      <c r="D220" s="12" t="n"/>
      <c r="E220" s="18" t="n"/>
      <c r="F220" s="18" t="n"/>
      <c r="G220" s="13" t="n"/>
      <c r="H220" s="13" t="n"/>
      <c r="I220" s="13" t="n"/>
      <c r="J220" s="13" t="n"/>
      <c r="K220" s="19">
        <f>IF(AND(A220="",C220="",D220=""),"",IF(A220="","Missing the date in column A",IF(OR(C220="",D220=""),IF(I220="Bracket","OK - bracket TBD","Missing a team"),IF(C220=D220,"Same team twice",IF(AND(COUNTIF(Teams!$B$5:$B$204,C220)=0,NOT(SUMPRODUCT(--ISNUMBER(SEARCH(","&amp;C220&amp;",",","&amp;SUBSTITUTE(SUBSTITUTE(Teams!$E$5:$E$204,", ",",")," ,",",")&amp;",")))&gt;0)),"Away team not on Teams tab",IF(AND(COUNTIF(Teams!$B$5:$B$204,D220)=0,NOT(SUMPRODUCT(--ISNUMBER(SEARCH(","&amp;D220&amp;",",","&amp;SUBSTITUTE(SUBSTITUTE(Teams!$E$5:$E$204,", ",",")," ,",",")&amp;",")))&gt;0)),"Home team not on Teams tab",IF(AND(E220&lt;&gt;"",F220=""),"Only one score entered",IF(AND(F220&lt;&gt;"",E220=""),"Only one score entered","OK"))))))))</f>
        <v/>
      </c>
    </row>
    <row r="221">
      <c r="A221" s="16" t="n"/>
      <c r="B221" s="17" t="n"/>
      <c r="C221" s="12" t="n"/>
      <c r="D221" s="12" t="n"/>
      <c r="E221" s="18" t="n"/>
      <c r="F221" s="18" t="n"/>
      <c r="G221" s="13" t="n"/>
      <c r="H221" s="13" t="n"/>
      <c r="I221" s="13" t="n"/>
      <c r="J221" s="13" t="n"/>
      <c r="K221" s="19">
        <f>IF(AND(A221="",C221="",D221=""),"",IF(A221="","Missing the date in column A",IF(OR(C221="",D221=""),IF(I221="Bracket","OK - bracket TBD","Missing a team"),IF(C221=D221,"Same team twice",IF(AND(COUNTIF(Teams!$B$5:$B$204,C221)=0,NOT(SUMPRODUCT(--ISNUMBER(SEARCH(","&amp;C221&amp;",",","&amp;SUBSTITUTE(SUBSTITUTE(Teams!$E$5:$E$204,", ",",")," ,",",")&amp;",")))&gt;0)),"Away team not on Teams tab",IF(AND(COUNTIF(Teams!$B$5:$B$204,D221)=0,NOT(SUMPRODUCT(--ISNUMBER(SEARCH(","&amp;D221&amp;",",","&amp;SUBSTITUTE(SUBSTITUTE(Teams!$E$5:$E$204,", ",",")," ,",",")&amp;",")))&gt;0)),"Home team not on Teams tab",IF(AND(E221&lt;&gt;"",F221=""),"Only one score entered",IF(AND(F221&lt;&gt;"",E221=""),"Only one score entered","OK"))))))))</f>
        <v/>
      </c>
    </row>
    <row r="222">
      <c r="A222" s="16" t="n"/>
      <c r="B222" s="17" t="n"/>
      <c r="C222" s="12" t="n"/>
      <c r="D222" s="12" t="n"/>
      <c r="E222" s="18" t="n"/>
      <c r="F222" s="18" t="n"/>
      <c r="G222" s="13" t="n"/>
      <c r="H222" s="13" t="n"/>
      <c r="I222" s="13" t="n"/>
      <c r="J222" s="13" t="n"/>
      <c r="K222" s="19">
        <f>IF(AND(A222="",C222="",D222=""),"",IF(A222="","Missing the date in column A",IF(OR(C222="",D222=""),IF(I222="Bracket","OK - bracket TBD","Missing a team"),IF(C222=D222,"Same team twice",IF(AND(COUNTIF(Teams!$B$5:$B$204,C222)=0,NOT(SUMPRODUCT(--ISNUMBER(SEARCH(","&amp;C222&amp;",",","&amp;SUBSTITUTE(SUBSTITUTE(Teams!$E$5:$E$204,", ",",")," ,",",")&amp;",")))&gt;0)),"Away team not on Teams tab",IF(AND(COUNTIF(Teams!$B$5:$B$204,D222)=0,NOT(SUMPRODUCT(--ISNUMBER(SEARCH(","&amp;D222&amp;",",","&amp;SUBSTITUTE(SUBSTITUTE(Teams!$E$5:$E$204,", ",",")," ,",",")&amp;",")))&gt;0)),"Home team not on Teams tab",IF(AND(E222&lt;&gt;"",F222=""),"Only one score entered",IF(AND(F222&lt;&gt;"",E222=""),"Only one score entered","OK"))))))))</f>
        <v/>
      </c>
    </row>
    <row r="223">
      <c r="A223" s="16" t="n"/>
      <c r="B223" s="17" t="n"/>
      <c r="C223" s="12" t="n"/>
      <c r="D223" s="12" t="n"/>
      <c r="E223" s="18" t="n"/>
      <c r="F223" s="18" t="n"/>
      <c r="G223" s="13" t="n"/>
      <c r="H223" s="13" t="n"/>
      <c r="I223" s="13" t="n"/>
      <c r="J223" s="13" t="n"/>
      <c r="K223" s="19">
        <f>IF(AND(A223="",C223="",D223=""),"",IF(A223="","Missing the date in column A",IF(OR(C223="",D223=""),IF(I223="Bracket","OK - bracket TBD","Missing a team"),IF(C223=D223,"Same team twice",IF(AND(COUNTIF(Teams!$B$5:$B$204,C223)=0,NOT(SUMPRODUCT(--ISNUMBER(SEARCH(","&amp;C223&amp;",",","&amp;SUBSTITUTE(SUBSTITUTE(Teams!$E$5:$E$204,", ",",")," ,",",")&amp;",")))&gt;0)),"Away team not on Teams tab",IF(AND(COUNTIF(Teams!$B$5:$B$204,D223)=0,NOT(SUMPRODUCT(--ISNUMBER(SEARCH(","&amp;D223&amp;",",","&amp;SUBSTITUTE(SUBSTITUTE(Teams!$E$5:$E$204,", ",",")," ,",",")&amp;",")))&gt;0)),"Home team not on Teams tab",IF(AND(E223&lt;&gt;"",F223=""),"Only one score entered",IF(AND(F223&lt;&gt;"",E223=""),"Only one score entered","OK"))))))))</f>
        <v/>
      </c>
    </row>
    <row r="224">
      <c r="A224" s="16" t="n"/>
      <c r="B224" s="17" t="n"/>
      <c r="C224" s="12" t="n"/>
      <c r="D224" s="12" t="n"/>
      <c r="E224" s="18" t="n"/>
      <c r="F224" s="18" t="n"/>
      <c r="G224" s="13" t="n"/>
      <c r="H224" s="13" t="n"/>
      <c r="I224" s="13" t="n"/>
      <c r="J224" s="13" t="n"/>
      <c r="K224" s="19">
        <f>IF(AND(A224="",C224="",D224=""),"",IF(A224="","Missing the date in column A",IF(OR(C224="",D224=""),IF(I224="Bracket","OK - bracket TBD","Missing a team"),IF(C224=D224,"Same team twice",IF(AND(COUNTIF(Teams!$B$5:$B$204,C224)=0,NOT(SUMPRODUCT(--ISNUMBER(SEARCH(","&amp;C224&amp;",",","&amp;SUBSTITUTE(SUBSTITUTE(Teams!$E$5:$E$204,", ",",")," ,",",")&amp;",")))&gt;0)),"Away team not on Teams tab",IF(AND(COUNTIF(Teams!$B$5:$B$204,D224)=0,NOT(SUMPRODUCT(--ISNUMBER(SEARCH(","&amp;D224&amp;",",","&amp;SUBSTITUTE(SUBSTITUTE(Teams!$E$5:$E$204,", ",",")," ,",",")&amp;",")))&gt;0)),"Home team not on Teams tab",IF(AND(E224&lt;&gt;"",F224=""),"Only one score entered",IF(AND(F224&lt;&gt;"",E224=""),"Only one score entered","OK"))))))))</f>
        <v/>
      </c>
    </row>
    <row r="225">
      <c r="A225" s="16" t="n"/>
      <c r="B225" s="17" t="n"/>
      <c r="C225" s="12" t="n"/>
      <c r="D225" s="12" t="n"/>
      <c r="E225" s="18" t="n"/>
      <c r="F225" s="18" t="n"/>
      <c r="G225" s="13" t="n"/>
      <c r="H225" s="13" t="n"/>
      <c r="I225" s="13" t="n"/>
      <c r="J225" s="13" t="n"/>
      <c r="K225" s="19">
        <f>IF(AND(A225="",C225="",D225=""),"",IF(A225="","Missing the date in column A",IF(OR(C225="",D225=""),IF(I225="Bracket","OK - bracket TBD","Missing a team"),IF(C225=D225,"Same team twice",IF(AND(COUNTIF(Teams!$B$5:$B$204,C225)=0,NOT(SUMPRODUCT(--ISNUMBER(SEARCH(","&amp;C225&amp;",",","&amp;SUBSTITUTE(SUBSTITUTE(Teams!$E$5:$E$204,", ",",")," ,",",")&amp;",")))&gt;0)),"Away team not on Teams tab",IF(AND(COUNTIF(Teams!$B$5:$B$204,D225)=0,NOT(SUMPRODUCT(--ISNUMBER(SEARCH(","&amp;D225&amp;",",","&amp;SUBSTITUTE(SUBSTITUTE(Teams!$E$5:$E$204,", ",",")," ,",",")&amp;",")))&gt;0)),"Home team not on Teams tab",IF(AND(E225&lt;&gt;"",F225=""),"Only one score entered",IF(AND(F225&lt;&gt;"",E225=""),"Only one score entered","OK"))))))))</f>
        <v/>
      </c>
    </row>
    <row r="226">
      <c r="A226" s="16" t="n"/>
      <c r="B226" s="17" t="n"/>
      <c r="C226" s="12" t="n"/>
      <c r="D226" s="12" t="n"/>
      <c r="E226" s="18" t="n"/>
      <c r="F226" s="18" t="n"/>
      <c r="G226" s="13" t="n"/>
      <c r="H226" s="13" t="n"/>
      <c r="I226" s="13" t="n"/>
      <c r="J226" s="13" t="n"/>
      <c r="K226" s="19">
        <f>IF(AND(A226="",C226="",D226=""),"",IF(A226="","Missing the date in column A",IF(OR(C226="",D226=""),IF(I226="Bracket","OK - bracket TBD","Missing a team"),IF(C226=D226,"Same team twice",IF(AND(COUNTIF(Teams!$B$5:$B$204,C226)=0,NOT(SUMPRODUCT(--ISNUMBER(SEARCH(","&amp;C226&amp;",",","&amp;SUBSTITUTE(SUBSTITUTE(Teams!$E$5:$E$204,", ",",")," ,",",")&amp;",")))&gt;0)),"Away team not on Teams tab",IF(AND(COUNTIF(Teams!$B$5:$B$204,D226)=0,NOT(SUMPRODUCT(--ISNUMBER(SEARCH(","&amp;D226&amp;",",","&amp;SUBSTITUTE(SUBSTITUTE(Teams!$E$5:$E$204,", ",",")," ,",",")&amp;",")))&gt;0)),"Home team not on Teams tab",IF(AND(E226&lt;&gt;"",F226=""),"Only one score entered",IF(AND(F226&lt;&gt;"",E226=""),"Only one score entered","OK"))))))))</f>
        <v/>
      </c>
    </row>
    <row r="227">
      <c r="A227" s="16" t="n"/>
      <c r="B227" s="17" t="n"/>
      <c r="C227" s="12" t="n"/>
      <c r="D227" s="12" t="n"/>
      <c r="E227" s="18" t="n"/>
      <c r="F227" s="18" t="n"/>
      <c r="G227" s="13" t="n"/>
      <c r="H227" s="13" t="n"/>
      <c r="I227" s="13" t="n"/>
      <c r="J227" s="13" t="n"/>
      <c r="K227" s="19">
        <f>IF(AND(A227="",C227="",D227=""),"",IF(A227="","Missing the date in column A",IF(OR(C227="",D227=""),IF(I227="Bracket","OK - bracket TBD","Missing a team"),IF(C227=D227,"Same team twice",IF(AND(COUNTIF(Teams!$B$5:$B$204,C227)=0,NOT(SUMPRODUCT(--ISNUMBER(SEARCH(","&amp;C227&amp;",",","&amp;SUBSTITUTE(SUBSTITUTE(Teams!$E$5:$E$204,", ",",")," ,",",")&amp;",")))&gt;0)),"Away team not on Teams tab",IF(AND(COUNTIF(Teams!$B$5:$B$204,D227)=0,NOT(SUMPRODUCT(--ISNUMBER(SEARCH(","&amp;D227&amp;",",","&amp;SUBSTITUTE(SUBSTITUTE(Teams!$E$5:$E$204,", ",",")," ,",",")&amp;",")))&gt;0)),"Home team not on Teams tab",IF(AND(E227&lt;&gt;"",F227=""),"Only one score entered",IF(AND(F227&lt;&gt;"",E227=""),"Only one score entered","OK"))))))))</f>
        <v/>
      </c>
    </row>
    <row r="228">
      <c r="A228" s="16" t="n"/>
      <c r="B228" s="17" t="n"/>
      <c r="C228" s="12" t="n"/>
      <c r="D228" s="12" t="n"/>
      <c r="E228" s="18" t="n"/>
      <c r="F228" s="18" t="n"/>
      <c r="G228" s="13" t="n"/>
      <c r="H228" s="13" t="n"/>
      <c r="I228" s="13" t="n"/>
      <c r="J228" s="13" t="n"/>
      <c r="K228" s="19">
        <f>IF(AND(A228="",C228="",D228=""),"",IF(A228="","Missing the date in column A",IF(OR(C228="",D228=""),IF(I228="Bracket","OK - bracket TBD","Missing a team"),IF(C228=D228,"Same team twice",IF(AND(COUNTIF(Teams!$B$5:$B$204,C228)=0,NOT(SUMPRODUCT(--ISNUMBER(SEARCH(","&amp;C228&amp;",",","&amp;SUBSTITUTE(SUBSTITUTE(Teams!$E$5:$E$204,", ",",")," ,",",")&amp;",")))&gt;0)),"Away team not on Teams tab",IF(AND(COUNTIF(Teams!$B$5:$B$204,D228)=0,NOT(SUMPRODUCT(--ISNUMBER(SEARCH(","&amp;D228&amp;",",","&amp;SUBSTITUTE(SUBSTITUTE(Teams!$E$5:$E$204,", ",",")," ,",",")&amp;",")))&gt;0)),"Home team not on Teams tab",IF(AND(E228&lt;&gt;"",F228=""),"Only one score entered",IF(AND(F228&lt;&gt;"",E228=""),"Only one score entered","OK"))))))))</f>
        <v/>
      </c>
    </row>
    <row r="229">
      <c r="A229" s="16" t="n"/>
      <c r="B229" s="17" t="n"/>
      <c r="C229" s="12" t="n"/>
      <c r="D229" s="12" t="n"/>
      <c r="E229" s="18" t="n"/>
      <c r="F229" s="18" t="n"/>
      <c r="G229" s="13" t="n"/>
      <c r="H229" s="13" t="n"/>
      <c r="I229" s="13" t="n"/>
      <c r="J229" s="13" t="n"/>
      <c r="K229" s="19">
        <f>IF(AND(A229="",C229="",D229=""),"",IF(A229="","Missing the date in column A",IF(OR(C229="",D229=""),IF(I229="Bracket","OK - bracket TBD","Missing a team"),IF(C229=D229,"Same team twice",IF(AND(COUNTIF(Teams!$B$5:$B$204,C229)=0,NOT(SUMPRODUCT(--ISNUMBER(SEARCH(","&amp;C229&amp;",",","&amp;SUBSTITUTE(SUBSTITUTE(Teams!$E$5:$E$204,", ",",")," ,",",")&amp;",")))&gt;0)),"Away team not on Teams tab",IF(AND(COUNTIF(Teams!$B$5:$B$204,D229)=0,NOT(SUMPRODUCT(--ISNUMBER(SEARCH(","&amp;D229&amp;",",","&amp;SUBSTITUTE(SUBSTITUTE(Teams!$E$5:$E$204,", ",",")," ,",",")&amp;",")))&gt;0)),"Home team not on Teams tab",IF(AND(E229&lt;&gt;"",F229=""),"Only one score entered",IF(AND(F229&lt;&gt;"",E229=""),"Only one score entered","OK"))))))))</f>
        <v/>
      </c>
    </row>
    <row r="230">
      <c r="A230" s="16" t="n"/>
      <c r="B230" s="17" t="n"/>
      <c r="C230" s="12" t="n"/>
      <c r="D230" s="12" t="n"/>
      <c r="E230" s="18" t="n"/>
      <c r="F230" s="18" t="n"/>
      <c r="G230" s="13" t="n"/>
      <c r="H230" s="13" t="n"/>
      <c r="I230" s="13" t="n"/>
      <c r="J230" s="13" t="n"/>
      <c r="K230" s="19">
        <f>IF(AND(A230="",C230="",D230=""),"",IF(A230="","Missing the date in column A",IF(OR(C230="",D230=""),IF(I230="Bracket","OK - bracket TBD","Missing a team"),IF(C230=D230,"Same team twice",IF(AND(COUNTIF(Teams!$B$5:$B$204,C230)=0,NOT(SUMPRODUCT(--ISNUMBER(SEARCH(","&amp;C230&amp;",",","&amp;SUBSTITUTE(SUBSTITUTE(Teams!$E$5:$E$204,", ",",")," ,",",")&amp;",")))&gt;0)),"Away team not on Teams tab",IF(AND(COUNTIF(Teams!$B$5:$B$204,D230)=0,NOT(SUMPRODUCT(--ISNUMBER(SEARCH(","&amp;D230&amp;",",","&amp;SUBSTITUTE(SUBSTITUTE(Teams!$E$5:$E$204,", ",",")," ,",",")&amp;",")))&gt;0)),"Home team not on Teams tab",IF(AND(E230&lt;&gt;"",F230=""),"Only one score entered",IF(AND(F230&lt;&gt;"",E230=""),"Only one score entered","OK"))))))))</f>
        <v/>
      </c>
    </row>
    <row r="231">
      <c r="A231" s="16" t="n"/>
      <c r="B231" s="17" t="n"/>
      <c r="C231" s="12" t="n"/>
      <c r="D231" s="12" t="n"/>
      <c r="E231" s="18" t="n"/>
      <c r="F231" s="18" t="n"/>
      <c r="G231" s="13" t="n"/>
      <c r="H231" s="13" t="n"/>
      <c r="I231" s="13" t="n"/>
      <c r="J231" s="13" t="n"/>
      <c r="K231" s="19">
        <f>IF(AND(A231="",C231="",D231=""),"",IF(A231="","Missing the date in column A",IF(OR(C231="",D231=""),IF(I231="Bracket","OK - bracket TBD","Missing a team"),IF(C231=D231,"Same team twice",IF(AND(COUNTIF(Teams!$B$5:$B$204,C231)=0,NOT(SUMPRODUCT(--ISNUMBER(SEARCH(","&amp;C231&amp;",",","&amp;SUBSTITUTE(SUBSTITUTE(Teams!$E$5:$E$204,", ",",")," ,",",")&amp;",")))&gt;0)),"Away team not on Teams tab",IF(AND(COUNTIF(Teams!$B$5:$B$204,D231)=0,NOT(SUMPRODUCT(--ISNUMBER(SEARCH(","&amp;D231&amp;",",","&amp;SUBSTITUTE(SUBSTITUTE(Teams!$E$5:$E$204,", ",",")," ,",",")&amp;",")))&gt;0)),"Home team not on Teams tab",IF(AND(E231&lt;&gt;"",F231=""),"Only one score entered",IF(AND(F231&lt;&gt;"",E231=""),"Only one score entered","OK"))))))))</f>
        <v/>
      </c>
    </row>
    <row r="232">
      <c r="A232" s="16" t="n"/>
      <c r="B232" s="17" t="n"/>
      <c r="C232" s="12" t="n"/>
      <c r="D232" s="12" t="n"/>
      <c r="E232" s="18" t="n"/>
      <c r="F232" s="18" t="n"/>
      <c r="G232" s="13" t="n"/>
      <c r="H232" s="13" t="n"/>
      <c r="I232" s="13" t="n"/>
      <c r="J232" s="13" t="n"/>
      <c r="K232" s="19">
        <f>IF(AND(A232="",C232="",D232=""),"",IF(A232="","Missing the date in column A",IF(OR(C232="",D232=""),IF(I232="Bracket","OK - bracket TBD","Missing a team"),IF(C232=D232,"Same team twice",IF(AND(COUNTIF(Teams!$B$5:$B$204,C232)=0,NOT(SUMPRODUCT(--ISNUMBER(SEARCH(","&amp;C232&amp;",",","&amp;SUBSTITUTE(SUBSTITUTE(Teams!$E$5:$E$204,", ",",")," ,",",")&amp;",")))&gt;0)),"Away team not on Teams tab",IF(AND(COUNTIF(Teams!$B$5:$B$204,D232)=0,NOT(SUMPRODUCT(--ISNUMBER(SEARCH(","&amp;D232&amp;",",","&amp;SUBSTITUTE(SUBSTITUTE(Teams!$E$5:$E$204,", ",",")," ,",",")&amp;",")))&gt;0)),"Home team not on Teams tab",IF(AND(E232&lt;&gt;"",F232=""),"Only one score entered",IF(AND(F232&lt;&gt;"",E232=""),"Only one score entered","OK"))))))))</f>
        <v/>
      </c>
    </row>
    <row r="233">
      <c r="A233" s="16" t="n"/>
      <c r="B233" s="17" t="n"/>
      <c r="C233" s="12" t="n"/>
      <c r="D233" s="12" t="n"/>
      <c r="E233" s="18" t="n"/>
      <c r="F233" s="18" t="n"/>
      <c r="G233" s="13" t="n"/>
      <c r="H233" s="13" t="n"/>
      <c r="I233" s="13" t="n"/>
      <c r="J233" s="13" t="n"/>
      <c r="K233" s="19">
        <f>IF(AND(A233="",C233="",D233=""),"",IF(A233="","Missing the date in column A",IF(OR(C233="",D233=""),IF(I233="Bracket","OK - bracket TBD","Missing a team"),IF(C233=D233,"Same team twice",IF(AND(COUNTIF(Teams!$B$5:$B$204,C233)=0,NOT(SUMPRODUCT(--ISNUMBER(SEARCH(","&amp;C233&amp;",",","&amp;SUBSTITUTE(SUBSTITUTE(Teams!$E$5:$E$204,", ",",")," ,",",")&amp;",")))&gt;0)),"Away team not on Teams tab",IF(AND(COUNTIF(Teams!$B$5:$B$204,D233)=0,NOT(SUMPRODUCT(--ISNUMBER(SEARCH(","&amp;D233&amp;",",","&amp;SUBSTITUTE(SUBSTITUTE(Teams!$E$5:$E$204,", ",",")," ,",",")&amp;",")))&gt;0)),"Home team not on Teams tab",IF(AND(E233&lt;&gt;"",F233=""),"Only one score entered",IF(AND(F233&lt;&gt;"",E233=""),"Only one score entered","OK"))))))))</f>
        <v/>
      </c>
    </row>
    <row r="234">
      <c r="A234" s="16" t="n"/>
      <c r="B234" s="17" t="n"/>
      <c r="C234" s="12" t="n"/>
      <c r="D234" s="12" t="n"/>
      <c r="E234" s="18" t="n"/>
      <c r="F234" s="18" t="n"/>
      <c r="G234" s="13" t="n"/>
      <c r="H234" s="13" t="n"/>
      <c r="I234" s="13" t="n"/>
      <c r="J234" s="13" t="n"/>
      <c r="K234" s="19">
        <f>IF(AND(A234="",C234="",D234=""),"",IF(A234="","Missing the date in column A",IF(OR(C234="",D234=""),IF(I234="Bracket","OK - bracket TBD","Missing a team"),IF(C234=D234,"Same team twice",IF(AND(COUNTIF(Teams!$B$5:$B$204,C234)=0,NOT(SUMPRODUCT(--ISNUMBER(SEARCH(","&amp;C234&amp;",",","&amp;SUBSTITUTE(SUBSTITUTE(Teams!$E$5:$E$204,", ",",")," ,",",")&amp;",")))&gt;0)),"Away team not on Teams tab",IF(AND(COUNTIF(Teams!$B$5:$B$204,D234)=0,NOT(SUMPRODUCT(--ISNUMBER(SEARCH(","&amp;D234&amp;",",","&amp;SUBSTITUTE(SUBSTITUTE(Teams!$E$5:$E$204,", ",",")," ,",",")&amp;",")))&gt;0)),"Home team not on Teams tab",IF(AND(E234&lt;&gt;"",F234=""),"Only one score entered",IF(AND(F234&lt;&gt;"",E234=""),"Only one score entered","OK"))))))))</f>
        <v/>
      </c>
    </row>
    <row r="235">
      <c r="A235" s="16" t="n"/>
      <c r="B235" s="17" t="n"/>
      <c r="C235" s="12" t="n"/>
      <c r="D235" s="12" t="n"/>
      <c r="E235" s="18" t="n"/>
      <c r="F235" s="18" t="n"/>
      <c r="G235" s="13" t="n"/>
      <c r="H235" s="13" t="n"/>
      <c r="I235" s="13" t="n"/>
      <c r="J235" s="13" t="n"/>
      <c r="K235" s="19">
        <f>IF(AND(A235="",C235="",D235=""),"",IF(A235="","Missing the date in column A",IF(OR(C235="",D235=""),IF(I235="Bracket","OK - bracket TBD","Missing a team"),IF(C235=D235,"Same team twice",IF(AND(COUNTIF(Teams!$B$5:$B$204,C235)=0,NOT(SUMPRODUCT(--ISNUMBER(SEARCH(","&amp;C235&amp;",",","&amp;SUBSTITUTE(SUBSTITUTE(Teams!$E$5:$E$204,", ",",")," ,",",")&amp;",")))&gt;0)),"Away team not on Teams tab",IF(AND(COUNTIF(Teams!$B$5:$B$204,D235)=0,NOT(SUMPRODUCT(--ISNUMBER(SEARCH(","&amp;D235&amp;",",","&amp;SUBSTITUTE(SUBSTITUTE(Teams!$E$5:$E$204,", ",",")," ,",",")&amp;",")))&gt;0)),"Home team not on Teams tab",IF(AND(E235&lt;&gt;"",F235=""),"Only one score entered",IF(AND(F235&lt;&gt;"",E235=""),"Only one score entered","OK"))))))))</f>
        <v/>
      </c>
    </row>
    <row r="236">
      <c r="A236" s="16" t="n"/>
      <c r="B236" s="17" t="n"/>
      <c r="C236" s="12" t="n"/>
      <c r="D236" s="12" t="n"/>
      <c r="E236" s="18" t="n"/>
      <c r="F236" s="18" t="n"/>
      <c r="G236" s="13" t="n"/>
      <c r="H236" s="13" t="n"/>
      <c r="I236" s="13" t="n"/>
      <c r="J236" s="13" t="n"/>
      <c r="K236" s="19">
        <f>IF(AND(A236="",C236="",D236=""),"",IF(A236="","Missing the date in column A",IF(OR(C236="",D236=""),IF(I236="Bracket","OK - bracket TBD","Missing a team"),IF(C236=D236,"Same team twice",IF(AND(COUNTIF(Teams!$B$5:$B$204,C236)=0,NOT(SUMPRODUCT(--ISNUMBER(SEARCH(","&amp;C236&amp;",",","&amp;SUBSTITUTE(SUBSTITUTE(Teams!$E$5:$E$204,", ",",")," ,",",")&amp;",")))&gt;0)),"Away team not on Teams tab",IF(AND(COUNTIF(Teams!$B$5:$B$204,D236)=0,NOT(SUMPRODUCT(--ISNUMBER(SEARCH(","&amp;D236&amp;",",","&amp;SUBSTITUTE(SUBSTITUTE(Teams!$E$5:$E$204,", ",",")," ,",",")&amp;",")))&gt;0)),"Home team not on Teams tab",IF(AND(E236&lt;&gt;"",F236=""),"Only one score entered",IF(AND(F236&lt;&gt;"",E236=""),"Only one score entered","OK"))))))))</f>
        <v/>
      </c>
    </row>
    <row r="237">
      <c r="A237" s="16" t="n"/>
      <c r="B237" s="17" t="n"/>
      <c r="C237" s="12" t="n"/>
      <c r="D237" s="12" t="n"/>
      <c r="E237" s="18" t="n"/>
      <c r="F237" s="18" t="n"/>
      <c r="G237" s="13" t="n"/>
      <c r="H237" s="13" t="n"/>
      <c r="I237" s="13" t="n"/>
      <c r="J237" s="13" t="n"/>
      <c r="K237" s="19">
        <f>IF(AND(A237="",C237="",D237=""),"",IF(A237="","Missing the date in column A",IF(OR(C237="",D237=""),IF(I237="Bracket","OK - bracket TBD","Missing a team"),IF(C237=D237,"Same team twice",IF(AND(COUNTIF(Teams!$B$5:$B$204,C237)=0,NOT(SUMPRODUCT(--ISNUMBER(SEARCH(","&amp;C237&amp;",",","&amp;SUBSTITUTE(SUBSTITUTE(Teams!$E$5:$E$204,", ",",")," ,",",")&amp;",")))&gt;0)),"Away team not on Teams tab",IF(AND(COUNTIF(Teams!$B$5:$B$204,D237)=0,NOT(SUMPRODUCT(--ISNUMBER(SEARCH(","&amp;D237&amp;",",","&amp;SUBSTITUTE(SUBSTITUTE(Teams!$E$5:$E$204,", ",",")," ,",",")&amp;",")))&gt;0)),"Home team not on Teams tab",IF(AND(E237&lt;&gt;"",F237=""),"Only one score entered",IF(AND(F237&lt;&gt;"",E237=""),"Only one score entered","OK"))))))))</f>
        <v/>
      </c>
    </row>
    <row r="238">
      <c r="A238" s="16" t="n"/>
      <c r="B238" s="17" t="n"/>
      <c r="C238" s="12" t="n"/>
      <c r="D238" s="12" t="n"/>
      <c r="E238" s="18" t="n"/>
      <c r="F238" s="18" t="n"/>
      <c r="G238" s="13" t="n"/>
      <c r="H238" s="13" t="n"/>
      <c r="I238" s="13" t="n"/>
      <c r="J238" s="13" t="n"/>
      <c r="K238" s="19">
        <f>IF(AND(A238="",C238="",D238=""),"",IF(A238="","Missing the date in column A",IF(OR(C238="",D238=""),IF(I238="Bracket","OK - bracket TBD","Missing a team"),IF(C238=D238,"Same team twice",IF(AND(COUNTIF(Teams!$B$5:$B$204,C238)=0,NOT(SUMPRODUCT(--ISNUMBER(SEARCH(","&amp;C238&amp;",",","&amp;SUBSTITUTE(SUBSTITUTE(Teams!$E$5:$E$204,", ",",")," ,",",")&amp;",")))&gt;0)),"Away team not on Teams tab",IF(AND(COUNTIF(Teams!$B$5:$B$204,D238)=0,NOT(SUMPRODUCT(--ISNUMBER(SEARCH(","&amp;D238&amp;",",","&amp;SUBSTITUTE(SUBSTITUTE(Teams!$E$5:$E$204,", ",",")," ,",",")&amp;",")))&gt;0)),"Home team not on Teams tab",IF(AND(E238&lt;&gt;"",F238=""),"Only one score entered",IF(AND(F238&lt;&gt;"",E238=""),"Only one score entered","OK"))))))))</f>
        <v/>
      </c>
    </row>
    <row r="239">
      <c r="A239" s="16" t="n"/>
      <c r="B239" s="17" t="n"/>
      <c r="C239" s="12" t="n"/>
      <c r="D239" s="12" t="n"/>
      <c r="E239" s="18" t="n"/>
      <c r="F239" s="18" t="n"/>
      <c r="G239" s="13" t="n"/>
      <c r="H239" s="13" t="n"/>
      <c r="I239" s="13" t="n"/>
      <c r="J239" s="13" t="n"/>
      <c r="K239" s="19">
        <f>IF(AND(A239="",C239="",D239=""),"",IF(A239="","Missing the date in column A",IF(OR(C239="",D239=""),IF(I239="Bracket","OK - bracket TBD","Missing a team"),IF(C239=D239,"Same team twice",IF(AND(COUNTIF(Teams!$B$5:$B$204,C239)=0,NOT(SUMPRODUCT(--ISNUMBER(SEARCH(","&amp;C239&amp;",",","&amp;SUBSTITUTE(SUBSTITUTE(Teams!$E$5:$E$204,", ",",")," ,",",")&amp;",")))&gt;0)),"Away team not on Teams tab",IF(AND(COUNTIF(Teams!$B$5:$B$204,D239)=0,NOT(SUMPRODUCT(--ISNUMBER(SEARCH(","&amp;D239&amp;",",","&amp;SUBSTITUTE(SUBSTITUTE(Teams!$E$5:$E$204,", ",",")," ,",",")&amp;",")))&gt;0)),"Home team not on Teams tab",IF(AND(E239&lt;&gt;"",F239=""),"Only one score entered",IF(AND(F239&lt;&gt;"",E239=""),"Only one score entered","OK"))))))))</f>
        <v/>
      </c>
    </row>
    <row r="240">
      <c r="A240" s="16" t="n"/>
      <c r="B240" s="17" t="n"/>
      <c r="C240" s="12" t="n"/>
      <c r="D240" s="12" t="n"/>
      <c r="E240" s="18" t="n"/>
      <c r="F240" s="18" t="n"/>
      <c r="G240" s="13" t="n"/>
      <c r="H240" s="13" t="n"/>
      <c r="I240" s="13" t="n"/>
      <c r="J240" s="13" t="n"/>
      <c r="K240" s="19">
        <f>IF(AND(A240="",C240="",D240=""),"",IF(A240="","Missing the date in column A",IF(OR(C240="",D240=""),IF(I240="Bracket","OK - bracket TBD","Missing a team"),IF(C240=D240,"Same team twice",IF(AND(COUNTIF(Teams!$B$5:$B$204,C240)=0,NOT(SUMPRODUCT(--ISNUMBER(SEARCH(","&amp;C240&amp;",",","&amp;SUBSTITUTE(SUBSTITUTE(Teams!$E$5:$E$204,", ",",")," ,",",")&amp;",")))&gt;0)),"Away team not on Teams tab",IF(AND(COUNTIF(Teams!$B$5:$B$204,D240)=0,NOT(SUMPRODUCT(--ISNUMBER(SEARCH(","&amp;D240&amp;",",","&amp;SUBSTITUTE(SUBSTITUTE(Teams!$E$5:$E$204,", ",",")," ,",",")&amp;",")))&gt;0)),"Home team not on Teams tab",IF(AND(E240&lt;&gt;"",F240=""),"Only one score entered",IF(AND(F240&lt;&gt;"",E240=""),"Only one score entered","OK"))))))))</f>
        <v/>
      </c>
    </row>
    <row r="241">
      <c r="A241" s="16" t="n"/>
      <c r="B241" s="17" t="n"/>
      <c r="C241" s="12" t="n"/>
      <c r="D241" s="12" t="n"/>
      <c r="E241" s="18" t="n"/>
      <c r="F241" s="18" t="n"/>
      <c r="G241" s="13" t="n"/>
      <c r="H241" s="13" t="n"/>
      <c r="I241" s="13" t="n"/>
      <c r="J241" s="13" t="n"/>
      <c r="K241" s="19">
        <f>IF(AND(A241="",C241="",D241=""),"",IF(A241="","Missing the date in column A",IF(OR(C241="",D241=""),IF(I241="Bracket","OK - bracket TBD","Missing a team"),IF(C241=D241,"Same team twice",IF(AND(COUNTIF(Teams!$B$5:$B$204,C241)=0,NOT(SUMPRODUCT(--ISNUMBER(SEARCH(","&amp;C241&amp;",",","&amp;SUBSTITUTE(SUBSTITUTE(Teams!$E$5:$E$204,", ",",")," ,",",")&amp;",")))&gt;0)),"Away team not on Teams tab",IF(AND(COUNTIF(Teams!$B$5:$B$204,D241)=0,NOT(SUMPRODUCT(--ISNUMBER(SEARCH(","&amp;D241&amp;",",","&amp;SUBSTITUTE(SUBSTITUTE(Teams!$E$5:$E$204,", ",",")," ,",",")&amp;",")))&gt;0)),"Home team not on Teams tab",IF(AND(E241&lt;&gt;"",F241=""),"Only one score entered",IF(AND(F241&lt;&gt;"",E241=""),"Only one score entered","OK"))))))))</f>
        <v/>
      </c>
    </row>
    <row r="242">
      <c r="A242" s="16" t="n"/>
      <c r="B242" s="17" t="n"/>
      <c r="C242" s="12" t="n"/>
      <c r="D242" s="12" t="n"/>
      <c r="E242" s="18" t="n"/>
      <c r="F242" s="18" t="n"/>
      <c r="G242" s="13" t="n"/>
      <c r="H242" s="13" t="n"/>
      <c r="I242" s="13" t="n"/>
      <c r="J242" s="13" t="n"/>
      <c r="K242" s="19">
        <f>IF(AND(A242="",C242="",D242=""),"",IF(A242="","Missing the date in column A",IF(OR(C242="",D242=""),IF(I242="Bracket","OK - bracket TBD","Missing a team"),IF(C242=D242,"Same team twice",IF(AND(COUNTIF(Teams!$B$5:$B$204,C242)=0,NOT(SUMPRODUCT(--ISNUMBER(SEARCH(","&amp;C242&amp;",",","&amp;SUBSTITUTE(SUBSTITUTE(Teams!$E$5:$E$204,", ",",")," ,",",")&amp;",")))&gt;0)),"Away team not on Teams tab",IF(AND(COUNTIF(Teams!$B$5:$B$204,D242)=0,NOT(SUMPRODUCT(--ISNUMBER(SEARCH(","&amp;D242&amp;",",","&amp;SUBSTITUTE(SUBSTITUTE(Teams!$E$5:$E$204,", ",",")," ,",",")&amp;",")))&gt;0)),"Home team not on Teams tab",IF(AND(E242&lt;&gt;"",F242=""),"Only one score entered",IF(AND(F242&lt;&gt;"",E242=""),"Only one score entered","OK"))))))))</f>
        <v/>
      </c>
    </row>
    <row r="243">
      <c r="A243" s="16" t="n"/>
      <c r="B243" s="17" t="n"/>
      <c r="C243" s="12" t="n"/>
      <c r="D243" s="12" t="n"/>
      <c r="E243" s="18" t="n"/>
      <c r="F243" s="18" t="n"/>
      <c r="G243" s="13" t="n"/>
      <c r="H243" s="13" t="n"/>
      <c r="I243" s="13" t="n"/>
      <c r="J243" s="13" t="n"/>
      <c r="K243" s="19">
        <f>IF(AND(A243="",C243="",D243=""),"",IF(A243="","Missing the date in column A",IF(OR(C243="",D243=""),IF(I243="Bracket","OK - bracket TBD","Missing a team"),IF(C243=D243,"Same team twice",IF(AND(COUNTIF(Teams!$B$5:$B$204,C243)=0,NOT(SUMPRODUCT(--ISNUMBER(SEARCH(","&amp;C243&amp;",",","&amp;SUBSTITUTE(SUBSTITUTE(Teams!$E$5:$E$204,", ",",")," ,",",")&amp;",")))&gt;0)),"Away team not on Teams tab",IF(AND(COUNTIF(Teams!$B$5:$B$204,D243)=0,NOT(SUMPRODUCT(--ISNUMBER(SEARCH(","&amp;D243&amp;",",","&amp;SUBSTITUTE(SUBSTITUTE(Teams!$E$5:$E$204,", ",",")," ,",",")&amp;",")))&gt;0)),"Home team not on Teams tab",IF(AND(E243&lt;&gt;"",F243=""),"Only one score entered",IF(AND(F243&lt;&gt;"",E243=""),"Only one score entered","OK"))))))))</f>
        <v/>
      </c>
    </row>
    <row r="244">
      <c r="A244" s="16" t="n"/>
      <c r="B244" s="17" t="n"/>
      <c r="C244" s="12" t="n"/>
      <c r="D244" s="12" t="n"/>
      <c r="E244" s="18" t="n"/>
      <c r="F244" s="18" t="n"/>
      <c r="G244" s="13" t="n"/>
      <c r="H244" s="13" t="n"/>
      <c r="I244" s="13" t="n"/>
      <c r="J244" s="13" t="n"/>
      <c r="K244" s="19">
        <f>IF(AND(A244="",C244="",D244=""),"",IF(A244="","Missing the date in column A",IF(OR(C244="",D244=""),IF(I244="Bracket","OK - bracket TBD","Missing a team"),IF(C244=D244,"Same team twice",IF(AND(COUNTIF(Teams!$B$5:$B$204,C244)=0,NOT(SUMPRODUCT(--ISNUMBER(SEARCH(","&amp;C244&amp;",",","&amp;SUBSTITUTE(SUBSTITUTE(Teams!$E$5:$E$204,", ",",")," ,",",")&amp;",")))&gt;0)),"Away team not on Teams tab",IF(AND(COUNTIF(Teams!$B$5:$B$204,D244)=0,NOT(SUMPRODUCT(--ISNUMBER(SEARCH(","&amp;D244&amp;",",","&amp;SUBSTITUTE(SUBSTITUTE(Teams!$E$5:$E$204,", ",",")," ,",",")&amp;",")))&gt;0)),"Home team not on Teams tab",IF(AND(E244&lt;&gt;"",F244=""),"Only one score entered",IF(AND(F244&lt;&gt;"",E244=""),"Only one score entered","OK"))))))))</f>
        <v/>
      </c>
    </row>
    <row r="245">
      <c r="A245" s="16" t="n"/>
      <c r="B245" s="17" t="n"/>
      <c r="C245" s="12" t="n"/>
      <c r="D245" s="12" t="n"/>
      <c r="E245" s="18" t="n"/>
      <c r="F245" s="18" t="n"/>
      <c r="G245" s="13" t="n"/>
      <c r="H245" s="13" t="n"/>
      <c r="I245" s="13" t="n"/>
      <c r="J245" s="13" t="n"/>
      <c r="K245" s="19">
        <f>IF(AND(A245="",C245="",D245=""),"",IF(A245="","Missing the date in column A",IF(OR(C245="",D245=""),IF(I245="Bracket","OK - bracket TBD","Missing a team"),IF(C245=D245,"Same team twice",IF(AND(COUNTIF(Teams!$B$5:$B$204,C245)=0,NOT(SUMPRODUCT(--ISNUMBER(SEARCH(","&amp;C245&amp;",",","&amp;SUBSTITUTE(SUBSTITUTE(Teams!$E$5:$E$204,", ",",")," ,",",")&amp;",")))&gt;0)),"Away team not on Teams tab",IF(AND(COUNTIF(Teams!$B$5:$B$204,D245)=0,NOT(SUMPRODUCT(--ISNUMBER(SEARCH(","&amp;D245&amp;",",","&amp;SUBSTITUTE(SUBSTITUTE(Teams!$E$5:$E$204,", ",",")," ,",",")&amp;",")))&gt;0)),"Home team not on Teams tab",IF(AND(E245&lt;&gt;"",F245=""),"Only one score entered",IF(AND(F245&lt;&gt;"",E245=""),"Only one score entered","OK"))))))))</f>
        <v/>
      </c>
    </row>
    <row r="246">
      <c r="A246" s="16" t="n"/>
      <c r="B246" s="17" t="n"/>
      <c r="C246" s="12" t="n"/>
      <c r="D246" s="12" t="n"/>
      <c r="E246" s="18" t="n"/>
      <c r="F246" s="18" t="n"/>
      <c r="G246" s="13" t="n"/>
      <c r="H246" s="13" t="n"/>
      <c r="I246" s="13" t="n"/>
      <c r="J246" s="13" t="n"/>
      <c r="K246" s="19">
        <f>IF(AND(A246="",C246="",D246=""),"",IF(A246="","Missing the date in column A",IF(OR(C246="",D246=""),IF(I246="Bracket","OK - bracket TBD","Missing a team"),IF(C246=D246,"Same team twice",IF(AND(COUNTIF(Teams!$B$5:$B$204,C246)=0,NOT(SUMPRODUCT(--ISNUMBER(SEARCH(","&amp;C246&amp;",",","&amp;SUBSTITUTE(SUBSTITUTE(Teams!$E$5:$E$204,", ",",")," ,",",")&amp;",")))&gt;0)),"Away team not on Teams tab",IF(AND(COUNTIF(Teams!$B$5:$B$204,D246)=0,NOT(SUMPRODUCT(--ISNUMBER(SEARCH(","&amp;D246&amp;",",","&amp;SUBSTITUTE(SUBSTITUTE(Teams!$E$5:$E$204,", ",",")," ,",",")&amp;",")))&gt;0)),"Home team not on Teams tab",IF(AND(E246&lt;&gt;"",F246=""),"Only one score entered",IF(AND(F246&lt;&gt;"",E246=""),"Only one score entered","OK"))))))))</f>
        <v/>
      </c>
    </row>
    <row r="247">
      <c r="A247" s="16" t="n"/>
      <c r="B247" s="17" t="n"/>
      <c r="C247" s="12" t="n"/>
      <c r="D247" s="12" t="n"/>
      <c r="E247" s="18" t="n"/>
      <c r="F247" s="18" t="n"/>
      <c r="G247" s="13" t="n"/>
      <c r="H247" s="13" t="n"/>
      <c r="I247" s="13" t="n"/>
      <c r="J247" s="13" t="n"/>
      <c r="K247" s="19">
        <f>IF(AND(A247="",C247="",D247=""),"",IF(A247="","Missing the date in column A",IF(OR(C247="",D247=""),IF(I247="Bracket","OK - bracket TBD","Missing a team"),IF(C247=D247,"Same team twice",IF(AND(COUNTIF(Teams!$B$5:$B$204,C247)=0,NOT(SUMPRODUCT(--ISNUMBER(SEARCH(","&amp;C247&amp;",",","&amp;SUBSTITUTE(SUBSTITUTE(Teams!$E$5:$E$204,", ",",")," ,",",")&amp;",")))&gt;0)),"Away team not on Teams tab",IF(AND(COUNTIF(Teams!$B$5:$B$204,D247)=0,NOT(SUMPRODUCT(--ISNUMBER(SEARCH(","&amp;D247&amp;",",","&amp;SUBSTITUTE(SUBSTITUTE(Teams!$E$5:$E$204,", ",",")," ,",",")&amp;",")))&gt;0)),"Home team not on Teams tab",IF(AND(E247&lt;&gt;"",F247=""),"Only one score entered",IF(AND(F247&lt;&gt;"",E247=""),"Only one score entered","OK"))))))))</f>
        <v/>
      </c>
    </row>
    <row r="248">
      <c r="A248" s="16" t="n"/>
      <c r="B248" s="17" t="n"/>
      <c r="C248" s="12" t="n"/>
      <c r="D248" s="12" t="n"/>
      <c r="E248" s="18" t="n"/>
      <c r="F248" s="18" t="n"/>
      <c r="G248" s="13" t="n"/>
      <c r="H248" s="13" t="n"/>
      <c r="I248" s="13" t="n"/>
      <c r="J248" s="13" t="n"/>
      <c r="K248" s="19">
        <f>IF(AND(A248="",C248="",D248=""),"",IF(A248="","Missing the date in column A",IF(OR(C248="",D248=""),IF(I248="Bracket","OK - bracket TBD","Missing a team"),IF(C248=D248,"Same team twice",IF(AND(COUNTIF(Teams!$B$5:$B$204,C248)=0,NOT(SUMPRODUCT(--ISNUMBER(SEARCH(","&amp;C248&amp;",",","&amp;SUBSTITUTE(SUBSTITUTE(Teams!$E$5:$E$204,", ",",")," ,",",")&amp;",")))&gt;0)),"Away team not on Teams tab",IF(AND(COUNTIF(Teams!$B$5:$B$204,D248)=0,NOT(SUMPRODUCT(--ISNUMBER(SEARCH(","&amp;D248&amp;",",","&amp;SUBSTITUTE(SUBSTITUTE(Teams!$E$5:$E$204,", ",",")," ,",",")&amp;",")))&gt;0)),"Home team not on Teams tab",IF(AND(E248&lt;&gt;"",F248=""),"Only one score entered",IF(AND(F248&lt;&gt;"",E248=""),"Only one score entered","OK"))))))))</f>
        <v/>
      </c>
    </row>
    <row r="249">
      <c r="A249" s="16" t="n"/>
      <c r="B249" s="17" t="n"/>
      <c r="C249" s="12" t="n"/>
      <c r="D249" s="12" t="n"/>
      <c r="E249" s="18" t="n"/>
      <c r="F249" s="18" t="n"/>
      <c r="G249" s="13" t="n"/>
      <c r="H249" s="13" t="n"/>
      <c r="I249" s="13" t="n"/>
      <c r="J249" s="13" t="n"/>
      <c r="K249" s="19">
        <f>IF(AND(A249="",C249="",D249=""),"",IF(A249="","Missing the date in column A",IF(OR(C249="",D249=""),IF(I249="Bracket","OK - bracket TBD","Missing a team"),IF(C249=D249,"Same team twice",IF(AND(COUNTIF(Teams!$B$5:$B$204,C249)=0,NOT(SUMPRODUCT(--ISNUMBER(SEARCH(","&amp;C249&amp;",",","&amp;SUBSTITUTE(SUBSTITUTE(Teams!$E$5:$E$204,", ",",")," ,",",")&amp;",")))&gt;0)),"Away team not on Teams tab",IF(AND(COUNTIF(Teams!$B$5:$B$204,D249)=0,NOT(SUMPRODUCT(--ISNUMBER(SEARCH(","&amp;D249&amp;",",","&amp;SUBSTITUTE(SUBSTITUTE(Teams!$E$5:$E$204,", ",",")," ,",",")&amp;",")))&gt;0)),"Home team not on Teams tab",IF(AND(E249&lt;&gt;"",F249=""),"Only one score entered",IF(AND(F249&lt;&gt;"",E249=""),"Only one score entered","OK"))))))))</f>
        <v/>
      </c>
    </row>
    <row r="250">
      <c r="A250" s="16" t="n"/>
      <c r="B250" s="17" t="n"/>
      <c r="C250" s="12" t="n"/>
      <c r="D250" s="12" t="n"/>
      <c r="E250" s="18" t="n"/>
      <c r="F250" s="18" t="n"/>
      <c r="G250" s="13" t="n"/>
      <c r="H250" s="13" t="n"/>
      <c r="I250" s="13" t="n"/>
      <c r="J250" s="13" t="n"/>
      <c r="K250" s="19">
        <f>IF(AND(A250="",C250="",D250=""),"",IF(A250="","Missing the date in column A",IF(OR(C250="",D250=""),IF(I250="Bracket","OK - bracket TBD","Missing a team"),IF(C250=D250,"Same team twice",IF(AND(COUNTIF(Teams!$B$5:$B$204,C250)=0,NOT(SUMPRODUCT(--ISNUMBER(SEARCH(","&amp;C250&amp;",",","&amp;SUBSTITUTE(SUBSTITUTE(Teams!$E$5:$E$204,", ",",")," ,",",")&amp;",")))&gt;0)),"Away team not on Teams tab",IF(AND(COUNTIF(Teams!$B$5:$B$204,D250)=0,NOT(SUMPRODUCT(--ISNUMBER(SEARCH(","&amp;D250&amp;",",","&amp;SUBSTITUTE(SUBSTITUTE(Teams!$E$5:$E$204,", ",",")," ,",",")&amp;",")))&gt;0)),"Home team not on Teams tab",IF(AND(E250&lt;&gt;"",F250=""),"Only one score entered",IF(AND(F250&lt;&gt;"",E250=""),"Only one score entered","OK"))))))))</f>
        <v/>
      </c>
    </row>
    <row r="251">
      <c r="A251" s="16" t="n"/>
      <c r="B251" s="17" t="n"/>
      <c r="C251" s="12" t="n"/>
      <c r="D251" s="12" t="n"/>
      <c r="E251" s="18" t="n"/>
      <c r="F251" s="18" t="n"/>
      <c r="G251" s="13" t="n"/>
      <c r="H251" s="13" t="n"/>
      <c r="I251" s="13" t="n"/>
      <c r="J251" s="13" t="n"/>
      <c r="K251" s="19">
        <f>IF(AND(A251="",C251="",D251=""),"",IF(A251="","Missing the date in column A",IF(OR(C251="",D251=""),IF(I251="Bracket","OK - bracket TBD","Missing a team"),IF(C251=D251,"Same team twice",IF(AND(COUNTIF(Teams!$B$5:$B$204,C251)=0,NOT(SUMPRODUCT(--ISNUMBER(SEARCH(","&amp;C251&amp;",",","&amp;SUBSTITUTE(SUBSTITUTE(Teams!$E$5:$E$204,", ",",")," ,",",")&amp;",")))&gt;0)),"Away team not on Teams tab",IF(AND(COUNTIF(Teams!$B$5:$B$204,D251)=0,NOT(SUMPRODUCT(--ISNUMBER(SEARCH(","&amp;D251&amp;",",","&amp;SUBSTITUTE(SUBSTITUTE(Teams!$E$5:$E$204,", ",",")," ,",",")&amp;",")))&gt;0)),"Home team not on Teams tab",IF(AND(E251&lt;&gt;"",F251=""),"Only one score entered",IF(AND(F251&lt;&gt;"",E251=""),"Only one score entered","OK"))))))))</f>
        <v/>
      </c>
    </row>
    <row r="252">
      <c r="A252" s="16" t="n"/>
      <c r="B252" s="17" t="n"/>
      <c r="C252" s="12" t="n"/>
      <c r="D252" s="12" t="n"/>
      <c r="E252" s="18" t="n"/>
      <c r="F252" s="18" t="n"/>
      <c r="G252" s="13" t="n"/>
      <c r="H252" s="13" t="n"/>
      <c r="I252" s="13" t="n"/>
      <c r="J252" s="13" t="n"/>
      <c r="K252" s="19">
        <f>IF(AND(A252="",C252="",D252=""),"",IF(A252="","Missing the date in column A",IF(OR(C252="",D252=""),IF(I252="Bracket","OK - bracket TBD","Missing a team"),IF(C252=D252,"Same team twice",IF(AND(COUNTIF(Teams!$B$5:$B$204,C252)=0,NOT(SUMPRODUCT(--ISNUMBER(SEARCH(","&amp;C252&amp;",",","&amp;SUBSTITUTE(SUBSTITUTE(Teams!$E$5:$E$204,", ",",")," ,",",")&amp;",")))&gt;0)),"Away team not on Teams tab",IF(AND(COUNTIF(Teams!$B$5:$B$204,D252)=0,NOT(SUMPRODUCT(--ISNUMBER(SEARCH(","&amp;D252&amp;",",","&amp;SUBSTITUTE(SUBSTITUTE(Teams!$E$5:$E$204,", ",",")," ,",",")&amp;",")))&gt;0)),"Home team not on Teams tab",IF(AND(E252&lt;&gt;"",F252=""),"Only one score entered",IF(AND(F252&lt;&gt;"",E252=""),"Only one score entered","OK"))))))))</f>
        <v/>
      </c>
    </row>
    <row r="253">
      <c r="A253" s="16" t="n"/>
      <c r="B253" s="17" t="n"/>
      <c r="C253" s="12" t="n"/>
      <c r="D253" s="12" t="n"/>
      <c r="E253" s="18" t="n"/>
      <c r="F253" s="18" t="n"/>
      <c r="G253" s="13" t="n"/>
      <c r="H253" s="13" t="n"/>
      <c r="I253" s="13" t="n"/>
      <c r="J253" s="13" t="n"/>
      <c r="K253" s="19">
        <f>IF(AND(A253="",C253="",D253=""),"",IF(A253="","Missing the date in column A",IF(OR(C253="",D253=""),IF(I253="Bracket","OK - bracket TBD","Missing a team"),IF(C253=D253,"Same team twice",IF(AND(COUNTIF(Teams!$B$5:$B$204,C253)=0,NOT(SUMPRODUCT(--ISNUMBER(SEARCH(","&amp;C253&amp;",",","&amp;SUBSTITUTE(SUBSTITUTE(Teams!$E$5:$E$204,", ",",")," ,",",")&amp;",")))&gt;0)),"Away team not on Teams tab",IF(AND(COUNTIF(Teams!$B$5:$B$204,D253)=0,NOT(SUMPRODUCT(--ISNUMBER(SEARCH(","&amp;D253&amp;",",","&amp;SUBSTITUTE(SUBSTITUTE(Teams!$E$5:$E$204,", ",",")," ,",",")&amp;",")))&gt;0)),"Home team not on Teams tab",IF(AND(E253&lt;&gt;"",F253=""),"Only one score entered",IF(AND(F253&lt;&gt;"",E253=""),"Only one score entered","OK"))))))))</f>
        <v/>
      </c>
    </row>
    <row r="254">
      <c r="A254" s="16" t="n"/>
      <c r="B254" s="17" t="n"/>
      <c r="C254" s="12" t="n"/>
      <c r="D254" s="12" t="n"/>
      <c r="E254" s="18" t="n"/>
      <c r="F254" s="18" t="n"/>
      <c r="G254" s="13" t="n"/>
      <c r="H254" s="13" t="n"/>
      <c r="I254" s="13" t="n"/>
      <c r="J254" s="13" t="n"/>
      <c r="K254" s="19">
        <f>IF(AND(A254="",C254="",D254=""),"",IF(A254="","Missing the date in column A",IF(OR(C254="",D254=""),IF(I254="Bracket","OK - bracket TBD","Missing a team"),IF(C254=D254,"Same team twice",IF(AND(COUNTIF(Teams!$B$5:$B$204,C254)=0,NOT(SUMPRODUCT(--ISNUMBER(SEARCH(","&amp;C254&amp;",",","&amp;SUBSTITUTE(SUBSTITUTE(Teams!$E$5:$E$204,", ",",")," ,",",")&amp;",")))&gt;0)),"Away team not on Teams tab",IF(AND(COUNTIF(Teams!$B$5:$B$204,D254)=0,NOT(SUMPRODUCT(--ISNUMBER(SEARCH(","&amp;D254&amp;",",","&amp;SUBSTITUTE(SUBSTITUTE(Teams!$E$5:$E$204,", ",",")," ,",",")&amp;",")))&gt;0)),"Home team not on Teams tab",IF(AND(E254&lt;&gt;"",F254=""),"Only one score entered",IF(AND(F254&lt;&gt;"",E254=""),"Only one score entered","OK"))))))))</f>
        <v/>
      </c>
    </row>
    <row r="255">
      <c r="A255" s="16" t="n"/>
      <c r="B255" s="17" t="n"/>
      <c r="C255" s="12" t="n"/>
      <c r="D255" s="12" t="n"/>
      <c r="E255" s="18" t="n"/>
      <c r="F255" s="18" t="n"/>
      <c r="G255" s="13" t="n"/>
      <c r="H255" s="13" t="n"/>
      <c r="I255" s="13" t="n"/>
      <c r="J255" s="13" t="n"/>
      <c r="K255" s="19">
        <f>IF(AND(A255="",C255="",D255=""),"",IF(A255="","Missing the date in column A",IF(OR(C255="",D255=""),IF(I255="Bracket","OK - bracket TBD","Missing a team"),IF(C255=D255,"Same team twice",IF(AND(COUNTIF(Teams!$B$5:$B$204,C255)=0,NOT(SUMPRODUCT(--ISNUMBER(SEARCH(","&amp;C255&amp;",",","&amp;SUBSTITUTE(SUBSTITUTE(Teams!$E$5:$E$204,", ",",")," ,",",")&amp;",")))&gt;0)),"Away team not on Teams tab",IF(AND(COUNTIF(Teams!$B$5:$B$204,D255)=0,NOT(SUMPRODUCT(--ISNUMBER(SEARCH(","&amp;D255&amp;",",","&amp;SUBSTITUTE(SUBSTITUTE(Teams!$E$5:$E$204,", ",",")," ,",",")&amp;",")))&gt;0)),"Home team not on Teams tab",IF(AND(E255&lt;&gt;"",F255=""),"Only one score entered",IF(AND(F255&lt;&gt;"",E255=""),"Only one score entered","OK"))))))))</f>
        <v/>
      </c>
    </row>
    <row r="256">
      <c r="A256" s="16" t="n"/>
      <c r="B256" s="17" t="n"/>
      <c r="C256" s="12" t="n"/>
      <c r="D256" s="12" t="n"/>
      <c r="E256" s="18" t="n"/>
      <c r="F256" s="18" t="n"/>
      <c r="G256" s="13" t="n"/>
      <c r="H256" s="13" t="n"/>
      <c r="I256" s="13" t="n"/>
      <c r="J256" s="13" t="n"/>
      <c r="K256" s="19">
        <f>IF(AND(A256="",C256="",D256=""),"",IF(A256="","Missing the date in column A",IF(OR(C256="",D256=""),IF(I256="Bracket","OK - bracket TBD","Missing a team"),IF(C256=D256,"Same team twice",IF(AND(COUNTIF(Teams!$B$5:$B$204,C256)=0,NOT(SUMPRODUCT(--ISNUMBER(SEARCH(","&amp;C256&amp;",",","&amp;SUBSTITUTE(SUBSTITUTE(Teams!$E$5:$E$204,", ",",")," ,",",")&amp;",")))&gt;0)),"Away team not on Teams tab",IF(AND(COUNTIF(Teams!$B$5:$B$204,D256)=0,NOT(SUMPRODUCT(--ISNUMBER(SEARCH(","&amp;D256&amp;",",","&amp;SUBSTITUTE(SUBSTITUTE(Teams!$E$5:$E$204,", ",",")," ,",",")&amp;",")))&gt;0)),"Home team not on Teams tab",IF(AND(E256&lt;&gt;"",F256=""),"Only one score entered",IF(AND(F256&lt;&gt;"",E256=""),"Only one score entered","OK"))))))))</f>
        <v/>
      </c>
    </row>
    <row r="257">
      <c r="A257" s="16" t="n"/>
      <c r="B257" s="17" t="n"/>
      <c r="C257" s="12" t="n"/>
      <c r="D257" s="12" t="n"/>
      <c r="E257" s="18" t="n"/>
      <c r="F257" s="18" t="n"/>
      <c r="G257" s="13" t="n"/>
      <c r="H257" s="13" t="n"/>
      <c r="I257" s="13" t="n"/>
      <c r="J257" s="13" t="n"/>
      <c r="K257" s="19">
        <f>IF(AND(A257="",C257="",D257=""),"",IF(A257="","Missing the date in column A",IF(OR(C257="",D257=""),IF(I257="Bracket","OK - bracket TBD","Missing a team"),IF(C257=D257,"Same team twice",IF(AND(COUNTIF(Teams!$B$5:$B$204,C257)=0,NOT(SUMPRODUCT(--ISNUMBER(SEARCH(","&amp;C257&amp;",",","&amp;SUBSTITUTE(SUBSTITUTE(Teams!$E$5:$E$204,", ",",")," ,",",")&amp;",")))&gt;0)),"Away team not on Teams tab",IF(AND(COUNTIF(Teams!$B$5:$B$204,D257)=0,NOT(SUMPRODUCT(--ISNUMBER(SEARCH(","&amp;D257&amp;",",","&amp;SUBSTITUTE(SUBSTITUTE(Teams!$E$5:$E$204,", ",",")," ,",",")&amp;",")))&gt;0)),"Home team not on Teams tab",IF(AND(E257&lt;&gt;"",F257=""),"Only one score entered",IF(AND(F257&lt;&gt;"",E257=""),"Only one score entered","OK"))))))))</f>
        <v/>
      </c>
    </row>
    <row r="258">
      <c r="A258" s="16" t="n"/>
      <c r="B258" s="17" t="n"/>
      <c r="C258" s="12" t="n"/>
      <c r="D258" s="12" t="n"/>
      <c r="E258" s="18" t="n"/>
      <c r="F258" s="18" t="n"/>
      <c r="G258" s="13" t="n"/>
      <c r="H258" s="13" t="n"/>
      <c r="I258" s="13" t="n"/>
      <c r="J258" s="13" t="n"/>
      <c r="K258" s="19">
        <f>IF(AND(A258="",C258="",D258=""),"",IF(A258="","Missing the date in column A",IF(OR(C258="",D258=""),IF(I258="Bracket","OK - bracket TBD","Missing a team"),IF(C258=D258,"Same team twice",IF(AND(COUNTIF(Teams!$B$5:$B$204,C258)=0,NOT(SUMPRODUCT(--ISNUMBER(SEARCH(","&amp;C258&amp;",",","&amp;SUBSTITUTE(SUBSTITUTE(Teams!$E$5:$E$204,", ",",")," ,",",")&amp;",")))&gt;0)),"Away team not on Teams tab",IF(AND(COUNTIF(Teams!$B$5:$B$204,D258)=0,NOT(SUMPRODUCT(--ISNUMBER(SEARCH(","&amp;D258&amp;",",","&amp;SUBSTITUTE(SUBSTITUTE(Teams!$E$5:$E$204,", ",",")," ,",",")&amp;",")))&gt;0)),"Home team not on Teams tab",IF(AND(E258&lt;&gt;"",F258=""),"Only one score entered",IF(AND(F258&lt;&gt;"",E258=""),"Only one score entered","OK"))))))))</f>
        <v/>
      </c>
    </row>
    <row r="259">
      <c r="A259" s="16" t="n"/>
      <c r="B259" s="17" t="n"/>
      <c r="C259" s="12" t="n"/>
      <c r="D259" s="12" t="n"/>
      <c r="E259" s="18" t="n"/>
      <c r="F259" s="18" t="n"/>
      <c r="G259" s="13" t="n"/>
      <c r="H259" s="13" t="n"/>
      <c r="I259" s="13" t="n"/>
      <c r="J259" s="13" t="n"/>
      <c r="K259" s="19">
        <f>IF(AND(A259="",C259="",D259=""),"",IF(A259="","Missing the date in column A",IF(OR(C259="",D259=""),IF(I259="Bracket","OK - bracket TBD","Missing a team"),IF(C259=D259,"Same team twice",IF(AND(COUNTIF(Teams!$B$5:$B$204,C259)=0,NOT(SUMPRODUCT(--ISNUMBER(SEARCH(","&amp;C259&amp;",",","&amp;SUBSTITUTE(SUBSTITUTE(Teams!$E$5:$E$204,", ",",")," ,",",")&amp;",")))&gt;0)),"Away team not on Teams tab",IF(AND(COUNTIF(Teams!$B$5:$B$204,D259)=0,NOT(SUMPRODUCT(--ISNUMBER(SEARCH(","&amp;D259&amp;",",","&amp;SUBSTITUTE(SUBSTITUTE(Teams!$E$5:$E$204,", ",",")," ,",",")&amp;",")))&gt;0)),"Home team not on Teams tab",IF(AND(E259&lt;&gt;"",F259=""),"Only one score entered",IF(AND(F259&lt;&gt;"",E259=""),"Only one score entered","OK"))))))))</f>
        <v/>
      </c>
    </row>
    <row r="260">
      <c r="A260" s="16" t="n"/>
      <c r="B260" s="17" t="n"/>
      <c r="C260" s="12" t="n"/>
      <c r="D260" s="12" t="n"/>
      <c r="E260" s="18" t="n"/>
      <c r="F260" s="18" t="n"/>
      <c r="G260" s="13" t="n"/>
      <c r="H260" s="13" t="n"/>
      <c r="I260" s="13" t="n"/>
      <c r="J260" s="13" t="n"/>
      <c r="K260" s="19">
        <f>IF(AND(A260="",C260="",D260=""),"",IF(A260="","Missing the date in column A",IF(OR(C260="",D260=""),IF(I260="Bracket","OK - bracket TBD","Missing a team"),IF(C260=D260,"Same team twice",IF(AND(COUNTIF(Teams!$B$5:$B$204,C260)=0,NOT(SUMPRODUCT(--ISNUMBER(SEARCH(","&amp;C260&amp;",",","&amp;SUBSTITUTE(SUBSTITUTE(Teams!$E$5:$E$204,", ",",")," ,",",")&amp;",")))&gt;0)),"Away team not on Teams tab",IF(AND(COUNTIF(Teams!$B$5:$B$204,D260)=0,NOT(SUMPRODUCT(--ISNUMBER(SEARCH(","&amp;D260&amp;",",","&amp;SUBSTITUTE(SUBSTITUTE(Teams!$E$5:$E$204,", ",",")," ,",",")&amp;",")))&gt;0)),"Home team not on Teams tab",IF(AND(E260&lt;&gt;"",F260=""),"Only one score entered",IF(AND(F260&lt;&gt;"",E260=""),"Only one score entered","OK"))))))))</f>
        <v/>
      </c>
    </row>
    <row r="261">
      <c r="A261" s="16" t="n"/>
      <c r="B261" s="17" t="n"/>
      <c r="C261" s="12" t="n"/>
      <c r="D261" s="12" t="n"/>
      <c r="E261" s="18" t="n"/>
      <c r="F261" s="18" t="n"/>
      <c r="G261" s="13" t="n"/>
      <c r="H261" s="13" t="n"/>
      <c r="I261" s="13" t="n"/>
      <c r="J261" s="13" t="n"/>
      <c r="K261" s="19">
        <f>IF(AND(A261="",C261="",D261=""),"",IF(A261="","Missing the date in column A",IF(OR(C261="",D261=""),IF(I261="Bracket","OK - bracket TBD","Missing a team"),IF(C261=D261,"Same team twice",IF(AND(COUNTIF(Teams!$B$5:$B$204,C261)=0,NOT(SUMPRODUCT(--ISNUMBER(SEARCH(","&amp;C261&amp;",",","&amp;SUBSTITUTE(SUBSTITUTE(Teams!$E$5:$E$204,", ",",")," ,",",")&amp;",")))&gt;0)),"Away team not on Teams tab",IF(AND(COUNTIF(Teams!$B$5:$B$204,D261)=0,NOT(SUMPRODUCT(--ISNUMBER(SEARCH(","&amp;D261&amp;",",","&amp;SUBSTITUTE(SUBSTITUTE(Teams!$E$5:$E$204,", ",",")," ,",",")&amp;",")))&gt;0)),"Home team not on Teams tab",IF(AND(E261&lt;&gt;"",F261=""),"Only one score entered",IF(AND(F261&lt;&gt;"",E261=""),"Only one score entered","OK"))))))))</f>
        <v/>
      </c>
    </row>
    <row r="262">
      <c r="A262" s="16" t="n"/>
      <c r="B262" s="17" t="n"/>
      <c r="C262" s="12" t="n"/>
      <c r="D262" s="12" t="n"/>
      <c r="E262" s="18" t="n"/>
      <c r="F262" s="18" t="n"/>
      <c r="G262" s="13" t="n"/>
      <c r="H262" s="13" t="n"/>
      <c r="I262" s="13" t="n"/>
      <c r="J262" s="13" t="n"/>
      <c r="K262" s="19">
        <f>IF(AND(A262="",C262="",D262=""),"",IF(A262="","Missing the date in column A",IF(OR(C262="",D262=""),IF(I262="Bracket","OK - bracket TBD","Missing a team"),IF(C262=D262,"Same team twice",IF(AND(COUNTIF(Teams!$B$5:$B$204,C262)=0,NOT(SUMPRODUCT(--ISNUMBER(SEARCH(","&amp;C262&amp;",",","&amp;SUBSTITUTE(SUBSTITUTE(Teams!$E$5:$E$204,", ",",")," ,",",")&amp;",")))&gt;0)),"Away team not on Teams tab",IF(AND(COUNTIF(Teams!$B$5:$B$204,D262)=0,NOT(SUMPRODUCT(--ISNUMBER(SEARCH(","&amp;D262&amp;",",","&amp;SUBSTITUTE(SUBSTITUTE(Teams!$E$5:$E$204,", ",",")," ,",",")&amp;",")))&gt;0)),"Home team not on Teams tab",IF(AND(E262&lt;&gt;"",F262=""),"Only one score entered",IF(AND(F262&lt;&gt;"",E262=""),"Only one score entered","OK"))))))))</f>
        <v/>
      </c>
    </row>
    <row r="263">
      <c r="A263" s="16" t="n"/>
      <c r="B263" s="17" t="n"/>
      <c r="C263" s="12" t="n"/>
      <c r="D263" s="12" t="n"/>
      <c r="E263" s="18" t="n"/>
      <c r="F263" s="18" t="n"/>
      <c r="G263" s="13" t="n"/>
      <c r="H263" s="13" t="n"/>
      <c r="I263" s="13" t="n"/>
      <c r="J263" s="13" t="n"/>
      <c r="K263" s="19">
        <f>IF(AND(A263="",C263="",D263=""),"",IF(A263="","Missing the date in column A",IF(OR(C263="",D263=""),IF(I263="Bracket","OK - bracket TBD","Missing a team"),IF(C263=D263,"Same team twice",IF(AND(COUNTIF(Teams!$B$5:$B$204,C263)=0,NOT(SUMPRODUCT(--ISNUMBER(SEARCH(","&amp;C263&amp;",",","&amp;SUBSTITUTE(SUBSTITUTE(Teams!$E$5:$E$204,", ",",")," ,",",")&amp;",")))&gt;0)),"Away team not on Teams tab",IF(AND(COUNTIF(Teams!$B$5:$B$204,D263)=0,NOT(SUMPRODUCT(--ISNUMBER(SEARCH(","&amp;D263&amp;",",","&amp;SUBSTITUTE(SUBSTITUTE(Teams!$E$5:$E$204,", ",",")," ,",",")&amp;",")))&gt;0)),"Home team not on Teams tab",IF(AND(E263&lt;&gt;"",F263=""),"Only one score entered",IF(AND(F263&lt;&gt;"",E263=""),"Only one score entered","OK"))))))))</f>
        <v/>
      </c>
    </row>
    <row r="264">
      <c r="A264" s="16" t="n"/>
      <c r="B264" s="17" t="n"/>
      <c r="C264" s="12" t="n"/>
      <c r="D264" s="12" t="n"/>
      <c r="E264" s="18" t="n"/>
      <c r="F264" s="18" t="n"/>
      <c r="G264" s="13" t="n"/>
      <c r="H264" s="13" t="n"/>
      <c r="I264" s="13" t="n"/>
      <c r="J264" s="13" t="n"/>
      <c r="K264" s="19">
        <f>IF(AND(A264="",C264="",D264=""),"",IF(A264="","Missing the date in column A",IF(OR(C264="",D264=""),IF(I264="Bracket","OK - bracket TBD","Missing a team"),IF(C264=D264,"Same team twice",IF(AND(COUNTIF(Teams!$B$5:$B$204,C264)=0,NOT(SUMPRODUCT(--ISNUMBER(SEARCH(","&amp;C264&amp;",",","&amp;SUBSTITUTE(SUBSTITUTE(Teams!$E$5:$E$204,", ",",")," ,",",")&amp;",")))&gt;0)),"Away team not on Teams tab",IF(AND(COUNTIF(Teams!$B$5:$B$204,D264)=0,NOT(SUMPRODUCT(--ISNUMBER(SEARCH(","&amp;D264&amp;",",","&amp;SUBSTITUTE(SUBSTITUTE(Teams!$E$5:$E$204,", ",",")," ,",",")&amp;",")))&gt;0)),"Home team not on Teams tab",IF(AND(E264&lt;&gt;"",F264=""),"Only one score entered",IF(AND(F264&lt;&gt;"",E264=""),"Only one score entered","OK"))))))))</f>
        <v/>
      </c>
    </row>
    <row r="265">
      <c r="A265" s="16" t="n"/>
      <c r="B265" s="17" t="n"/>
      <c r="C265" s="12" t="n"/>
      <c r="D265" s="12" t="n"/>
      <c r="E265" s="18" t="n"/>
      <c r="F265" s="18" t="n"/>
      <c r="G265" s="13" t="n"/>
      <c r="H265" s="13" t="n"/>
      <c r="I265" s="13" t="n"/>
      <c r="J265" s="13" t="n"/>
      <c r="K265" s="19">
        <f>IF(AND(A265="",C265="",D265=""),"",IF(A265="","Missing the date in column A",IF(OR(C265="",D265=""),IF(I265="Bracket","OK - bracket TBD","Missing a team"),IF(C265=D265,"Same team twice",IF(AND(COUNTIF(Teams!$B$5:$B$204,C265)=0,NOT(SUMPRODUCT(--ISNUMBER(SEARCH(","&amp;C265&amp;",",","&amp;SUBSTITUTE(SUBSTITUTE(Teams!$E$5:$E$204,", ",",")," ,",",")&amp;",")))&gt;0)),"Away team not on Teams tab",IF(AND(COUNTIF(Teams!$B$5:$B$204,D265)=0,NOT(SUMPRODUCT(--ISNUMBER(SEARCH(","&amp;D265&amp;",",","&amp;SUBSTITUTE(SUBSTITUTE(Teams!$E$5:$E$204,", ",",")," ,",",")&amp;",")))&gt;0)),"Home team not on Teams tab",IF(AND(E265&lt;&gt;"",F265=""),"Only one score entered",IF(AND(F265&lt;&gt;"",E265=""),"Only one score entered","OK"))))))))</f>
        <v/>
      </c>
    </row>
    <row r="266">
      <c r="A266" s="16" t="n"/>
      <c r="B266" s="17" t="n"/>
      <c r="C266" s="12" t="n"/>
      <c r="D266" s="12" t="n"/>
      <c r="E266" s="18" t="n"/>
      <c r="F266" s="18" t="n"/>
      <c r="G266" s="13" t="n"/>
      <c r="H266" s="13" t="n"/>
      <c r="I266" s="13" t="n"/>
      <c r="J266" s="13" t="n"/>
      <c r="K266" s="19">
        <f>IF(AND(A266="",C266="",D266=""),"",IF(A266="","Missing the date in column A",IF(OR(C266="",D266=""),IF(I266="Bracket","OK - bracket TBD","Missing a team"),IF(C266=D266,"Same team twice",IF(AND(COUNTIF(Teams!$B$5:$B$204,C266)=0,NOT(SUMPRODUCT(--ISNUMBER(SEARCH(","&amp;C266&amp;",",","&amp;SUBSTITUTE(SUBSTITUTE(Teams!$E$5:$E$204,", ",",")," ,",",")&amp;",")))&gt;0)),"Away team not on Teams tab",IF(AND(COUNTIF(Teams!$B$5:$B$204,D266)=0,NOT(SUMPRODUCT(--ISNUMBER(SEARCH(","&amp;D266&amp;",",","&amp;SUBSTITUTE(SUBSTITUTE(Teams!$E$5:$E$204,", ",",")," ,",",")&amp;",")))&gt;0)),"Home team not on Teams tab",IF(AND(E266&lt;&gt;"",F266=""),"Only one score entered",IF(AND(F266&lt;&gt;"",E266=""),"Only one score entered","OK"))))))))</f>
        <v/>
      </c>
    </row>
    <row r="267">
      <c r="A267" s="16" t="n"/>
      <c r="B267" s="17" t="n"/>
      <c r="C267" s="12" t="n"/>
      <c r="D267" s="12" t="n"/>
      <c r="E267" s="18" t="n"/>
      <c r="F267" s="18" t="n"/>
      <c r="G267" s="13" t="n"/>
      <c r="H267" s="13" t="n"/>
      <c r="I267" s="13" t="n"/>
      <c r="J267" s="13" t="n"/>
      <c r="K267" s="19">
        <f>IF(AND(A267="",C267="",D267=""),"",IF(A267="","Missing the date in column A",IF(OR(C267="",D267=""),IF(I267="Bracket","OK - bracket TBD","Missing a team"),IF(C267=D267,"Same team twice",IF(AND(COUNTIF(Teams!$B$5:$B$204,C267)=0,NOT(SUMPRODUCT(--ISNUMBER(SEARCH(","&amp;C267&amp;",",","&amp;SUBSTITUTE(SUBSTITUTE(Teams!$E$5:$E$204,", ",",")," ,",",")&amp;",")))&gt;0)),"Away team not on Teams tab",IF(AND(COUNTIF(Teams!$B$5:$B$204,D267)=0,NOT(SUMPRODUCT(--ISNUMBER(SEARCH(","&amp;D267&amp;",",","&amp;SUBSTITUTE(SUBSTITUTE(Teams!$E$5:$E$204,", ",",")," ,",",")&amp;",")))&gt;0)),"Home team not on Teams tab",IF(AND(E267&lt;&gt;"",F267=""),"Only one score entered",IF(AND(F267&lt;&gt;"",E267=""),"Only one score entered","OK"))))))))</f>
        <v/>
      </c>
    </row>
    <row r="268">
      <c r="A268" s="16" t="n"/>
      <c r="B268" s="17" t="n"/>
      <c r="C268" s="12" t="n"/>
      <c r="D268" s="12" t="n"/>
      <c r="E268" s="18" t="n"/>
      <c r="F268" s="18" t="n"/>
      <c r="G268" s="13" t="n"/>
      <c r="H268" s="13" t="n"/>
      <c r="I268" s="13" t="n"/>
      <c r="J268" s="13" t="n"/>
      <c r="K268" s="19">
        <f>IF(AND(A268="",C268="",D268=""),"",IF(A268="","Missing the date in column A",IF(OR(C268="",D268=""),IF(I268="Bracket","OK - bracket TBD","Missing a team"),IF(C268=D268,"Same team twice",IF(AND(COUNTIF(Teams!$B$5:$B$204,C268)=0,NOT(SUMPRODUCT(--ISNUMBER(SEARCH(","&amp;C268&amp;",",","&amp;SUBSTITUTE(SUBSTITUTE(Teams!$E$5:$E$204,", ",",")," ,",",")&amp;",")))&gt;0)),"Away team not on Teams tab",IF(AND(COUNTIF(Teams!$B$5:$B$204,D268)=0,NOT(SUMPRODUCT(--ISNUMBER(SEARCH(","&amp;D268&amp;",",","&amp;SUBSTITUTE(SUBSTITUTE(Teams!$E$5:$E$204,", ",",")," ,",",")&amp;",")))&gt;0)),"Home team not on Teams tab",IF(AND(E268&lt;&gt;"",F268=""),"Only one score entered",IF(AND(F268&lt;&gt;"",E268=""),"Only one score entered","OK"))))))))</f>
        <v/>
      </c>
    </row>
    <row r="269">
      <c r="A269" s="16" t="n"/>
      <c r="B269" s="17" t="n"/>
      <c r="C269" s="12" t="n"/>
      <c r="D269" s="12" t="n"/>
      <c r="E269" s="18" t="n"/>
      <c r="F269" s="18" t="n"/>
      <c r="G269" s="13" t="n"/>
      <c r="H269" s="13" t="n"/>
      <c r="I269" s="13" t="n"/>
      <c r="J269" s="13" t="n"/>
      <c r="K269" s="19">
        <f>IF(AND(A269="",C269="",D269=""),"",IF(A269="","Missing the date in column A",IF(OR(C269="",D269=""),IF(I269="Bracket","OK - bracket TBD","Missing a team"),IF(C269=D269,"Same team twice",IF(AND(COUNTIF(Teams!$B$5:$B$204,C269)=0,NOT(SUMPRODUCT(--ISNUMBER(SEARCH(","&amp;C269&amp;",",","&amp;SUBSTITUTE(SUBSTITUTE(Teams!$E$5:$E$204,", ",",")," ,",",")&amp;",")))&gt;0)),"Away team not on Teams tab",IF(AND(COUNTIF(Teams!$B$5:$B$204,D269)=0,NOT(SUMPRODUCT(--ISNUMBER(SEARCH(","&amp;D269&amp;",",","&amp;SUBSTITUTE(SUBSTITUTE(Teams!$E$5:$E$204,", ",",")," ,",",")&amp;",")))&gt;0)),"Home team not on Teams tab",IF(AND(E269&lt;&gt;"",F269=""),"Only one score entered",IF(AND(F269&lt;&gt;"",E269=""),"Only one score entered","OK"))))))))</f>
        <v/>
      </c>
    </row>
    <row r="270">
      <c r="A270" s="16" t="n"/>
      <c r="B270" s="17" t="n"/>
      <c r="C270" s="12" t="n"/>
      <c r="D270" s="12" t="n"/>
      <c r="E270" s="18" t="n"/>
      <c r="F270" s="18" t="n"/>
      <c r="G270" s="13" t="n"/>
      <c r="H270" s="13" t="n"/>
      <c r="I270" s="13" t="n"/>
      <c r="J270" s="13" t="n"/>
      <c r="K270" s="19">
        <f>IF(AND(A270="",C270="",D270=""),"",IF(A270="","Missing the date in column A",IF(OR(C270="",D270=""),IF(I270="Bracket","OK - bracket TBD","Missing a team"),IF(C270=D270,"Same team twice",IF(AND(COUNTIF(Teams!$B$5:$B$204,C270)=0,NOT(SUMPRODUCT(--ISNUMBER(SEARCH(","&amp;C270&amp;",",","&amp;SUBSTITUTE(SUBSTITUTE(Teams!$E$5:$E$204,", ",",")," ,",",")&amp;",")))&gt;0)),"Away team not on Teams tab",IF(AND(COUNTIF(Teams!$B$5:$B$204,D270)=0,NOT(SUMPRODUCT(--ISNUMBER(SEARCH(","&amp;D270&amp;",",","&amp;SUBSTITUTE(SUBSTITUTE(Teams!$E$5:$E$204,", ",",")," ,",",")&amp;",")))&gt;0)),"Home team not on Teams tab",IF(AND(E270&lt;&gt;"",F270=""),"Only one score entered",IF(AND(F270&lt;&gt;"",E270=""),"Only one score entered","OK"))))))))</f>
        <v/>
      </c>
    </row>
    <row r="271">
      <c r="A271" s="16" t="n"/>
      <c r="B271" s="17" t="n"/>
      <c r="C271" s="12" t="n"/>
      <c r="D271" s="12" t="n"/>
      <c r="E271" s="18" t="n"/>
      <c r="F271" s="18" t="n"/>
      <c r="G271" s="13" t="n"/>
      <c r="H271" s="13" t="n"/>
      <c r="I271" s="13" t="n"/>
      <c r="J271" s="13" t="n"/>
      <c r="K271" s="19">
        <f>IF(AND(A271="",C271="",D271=""),"",IF(A271="","Missing the date in column A",IF(OR(C271="",D271=""),IF(I271="Bracket","OK - bracket TBD","Missing a team"),IF(C271=D271,"Same team twice",IF(AND(COUNTIF(Teams!$B$5:$B$204,C271)=0,NOT(SUMPRODUCT(--ISNUMBER(SEARCH(","&amp;C271&amp;",",","&amp;SUBSTITUTE(SUBSTITUTE(Teams!$E$5:$E$204,", ",",")," ,",",")&amp;",")))&gt;0)),"Away team not on Teams tab",IF(AND(COUNTIF(Teams!$B$5:$B$204,D271)=0,NOT(SUMPRODUCT(--ISNUMBER(SEARCH(","&amp;D271&amp;",",","&amp;SUBSTITUTE(SUBSTITUTE(Teams!$E$5:$E$204,", ",",")," ,",",")&amp;",")))&gt;0)),"Home team not on Teams tab",IF(AND(E271&lt;&gt;"",F271=""),"Only one score entered",IF(AND(F271&lt;&gt;"",E271=""),"Only one score entered","OK"))))))))</f>
        <v/>
      </c>
    </row>
    <row r="272">
      <c r="A272" s="16" t="n"/>
      <c r="B272" s="17" t="n"/>
      <c r="C272" s="12" t="n"/>
      <c r="D272" s="12" t="n"/>
      <c r="E272" s="18" t="n"/>
      <c r="F272" s="18" t="n"/>
      <c r="G272" s="13" t="n"/>
      <c r="H272" s="13" t="n"/>
      <c r="I272" s="13" t="n"/>
      <c r="J272" s="13" t="n"/>
      <c r="K272" s="19">
        <f>IF(AND(A272="",C272="",D272=""),"",IF(A272="","Missing the date in column A",IF(OR(C272="",D272=""),IF(I272="Bracket","OK - bracket TBD","Missing a team"),IF(C272=D272,"Same team twice",IF(AND(COUNTIF(Teams!$B$5:$B$204,C272)=0,NOT(SUMPRODUCT(--ISNUMBER(SEARCH(","&amp;C272&amp;",",","&amp;SUBSTITUTE(SUBSTITUTE(Teams!$E$5:$E$204,", ",",")," ,",",")&amp;",")))&gt;0)),"Away team not on Teams tab",IF(AND(COUNTIF(Teams!$B$5:$B$204,D272)=0,NOT(SUMPRODUCT(--ISNUMBER(SEARCH(","&amp;D272&amp;",",","&amp;SUBSTITUTE(SUBSTITUTE(Teams!$E$5:$E$204,", ",",")," ,",",")&amp;",")))&gt;0)),"Home team not on Teams tab",IF(AND(E272&lt;&gt;"",F272=""),"Only one score entered",IF(AND(F272&lt;&gt;"",E272=""),"Only one score entered","OK"))))))))</f>
        <v/>
      </c>
    </row>
    <row r="273">
      <c r="A273" s="16" t="n"/>
      <c r="B273" s="17" t="n"/>
      <c r="C273" s="12" t="n"/>
      <c r="D273" s="12" t="n"/>
      <c r="E273" s="18" t="n"/>
      <c r="F273" s="18" t="n"/>
      <c r="G273" s="13" t="n"/>
      <c r="H273" s="13" t="n"/>
      <c r="I273" s="13" t="n"/>
      <c r="J273" s="13" t="n"/>
      <c r="K273" s="19">
        <f>IF(AND(A273="",C273="",D273=""),"",IF(A273="","Missing the date in column A",IF(OR(C273="",D273=""),IF(I273="Bracket","OK - bracket TBD","Missing a team"),IF(C273=D273,"Same team twice",IF(AND(COUNTIF(Teams!$B$5:$B$204,C273)=0,NOT(SUMPRODUCT(--ISNUMBER(SEARCH(","&amp;C273&amp;",",","&amp;SUBSTITUTE(SUBSTITUTE(Teams!$E$5:$E$204,", ",",")," ,",",")&amp;",")))&gt;0)),"Away team not on Teams tab",IF(AND(COUNTIF(Teams!$B$5:$B$204,D273)=0,NOT(SUMPRODUCT(--ISNUMBER(SEARCH(","&amp;D273&amp;",",","&amp;SUBSTITUTE(SUBSTITUTE(Teams!$E$5:$E$204,", ",",")," ,",",")&amp;",")))&gt;0)),"Home team not on Teams tab",IF(AND(E273&lt;&gt;"",F273=""),"Only one score entered",IF(AND(F273&lt;&gt;"",E273=""),"Only one score entered","OK"))))))))</f>
        <v/>
      </c>
    </row>
    <row r="274">
      <c r="A274" s="16" t="n"/>
      <c r="B274" s="17" t="n"/>
      <c r="C274" s="12" t="n"/>
      <c r="D274" s="12" t="n"/>
      <c r="E274" s="18" t="n"/>
      <c r="F274" s="18" t="n"/>
      <c r="G274" s="13" t="n"/>
      <c r="H274" s="13" t="n"/>
      <c r="I274" s="13" t="n"/>
      <c r="J274" s="13" t="n"/>
      <c r="K274" s="19">
        <f>IF(AND(A274="",C274="",D274=""),"",IF(A274="","Missing the date in column A",IF(OR(C274="",D274=""),IF(I274="Bracket","OK - bracket TBD","Missing a team"),IF(C274=D274,"Same team twice",IF(AND(COUNTIF(Teams!$B$5:$B$204,C274)=0,NOT(SUMPRODUCT(--ISNUMBER(SEARCH(","&amp;C274&amp;",",","&amp;SUBSTITUTE(SUBSTITUTE(Teams!$E$5:$E$204,", ",",")," ,",",")&amp;",")))&gt;0)),"Away team not on Teams tab",IF(AND(COUNTIF(Teams!$B$5:$B$204,D274)=0,NOT(SUMPRODUCT(--ISNUMBER(SEARCH(","&amp;D274&amp;",",","&amp;SUBSTITUTE(SUBSTITUTE(Teams!$E$5:$E$204,", ",",")," ,",",")&amp;",")))&gt;0)),"Home team not on Teams tab",IF(AND(E274&lt;&gt;"",F274=""),"Only one score entered",IF(AND(F274&lt;&gt;"",E274=""),"Only one score entered","OK"))))))))</f>
        <v/>
      </c>
    </row>
    <row r="275">
      <c r="A275" s="16" t="n"/>
      <c r="B275" s="17" t="n"/>
      <c r="C275" s="12" t="n"/>
      <c r="D275" s="12" t="n"/>
      <c r="E275" s="18" t="n"/>
      <c r="F275" s="18" t="n"/>
      <c r="G275" s="13" t="n"/>
      <c r="H275" s="13" t="n"/>
      <c r="I275" s="13" t="n"/>
      <c r="J275" s="13" t="n"/>
      <c r="K275" s="19">
        <f>IF(AND(A275="",C275="",D275=""),"",IF(A275="","Missing the date in column A",IF(OR(C275="",D275=""),IF(I275="Bracket","OK - bracket TBD","Missing a team"),IF(C275=D275,"Same team twice",IF(AND(COUNTIF(Teams!$B$5:$B$204,C275)=0,NOT(SUMPRODUCT(--ISNUMBER(SEARCH(","&amp;C275&amp;",",","&amp;SUBSTITUTE(SUBSTITUTE(Teams!$E$5:$E$204,", ",",")," ,",",")&amp;",")))&gt;0)),"Away team not on Teams tab",IF(AND(COUNTIF(Teams!$B$5:$B$204,D275)=0,NOT(SUMPRODUCT(--ISNUMBER(SEARCH(","&amp;D275&amp;",",","&amp;SUBSTITUTE(SUBSTITUTE(Teams!$E$5:$E$204,", ",",")," ,",",")&amp;",")))&gt;0)),"Home team not on Teams tab",IF(AND(E275&lt;&gt;"",F275=""),"Only one score entered",IF(AND(F275&lt;&gt;"",E275=""),"Only one score entered","OK"))))))))</f>
        <v/>
      </c>
    </row>
    <row r="276">
      <c r="A276" s="16" t="n"/>
      <c r="B276" s="17" t="n"/>
      <c r="C276" s="12" t="n"/>
      <c r="D276" s="12" t="n"/>
      <c r="E276" s="18" t="n"/>
      <c r="F276" s="18" t="n"/>
      <c r="G276" s="13" t="n"/>
      <c r="H276" s="13" t="n"/>
      <c r="I276" s="13" t="n"/>
      <c r="J276" s="13" t="n"/>
      <c r="K276" s="19">
        <f>IF(AND(A276="",C276="",D276=""),"",IF(A276="","Missing the date in column A",IF(OR(C276="",D276=""),IF(I276="Bracket","OK - bracket TBD","Missing a team"),IF(C276=D276,"Same team twice",IF(AND(COUNTIF(Teams!$B$5:$B$204,C276)=0,NOT(SUMPRODUCT(--ISNUMBER(SEARCH(","&amp;C276&amp;",",","&amp;SUBSTITUTE(SUBSTITUTE(Teams!$E$5:$E$204,", ",",")," ,",",")&amp;",")))&gt;0)),"Away team not on Teams tab",IF(AND(COUNTIF(Teams!$B$5:$B$204,D276)=0,NOT(SUMPRODUCT(--ISNUMBER(SEARCH(","&amp;D276&amp;",",","&amp;SUBSTITUTE(SUBSTITUTE(Teams!$E$5:$E$204,", ",",")," ,",",")&amp;",")))&gt;0)),"Home team not on Teams tab",IF(AND(E276&lt;&gt;"",F276=""),"Only one score entered",IF(AND(F276&lt;&gt;"",E276=""),"Only one score entered","OK"))))))))</f>
        <v/>
      </c>
    </row>
    <row r="277">
      <c r="A277" s="16" t="n"/>
      <c r="B277" s="17" t="n"/>
      <c r="C277" s="12" t="n"/>
      <c r="D277" s="12" t="n"/>
      <c r="E277" s="18" t="n"/>
      <c r="F277" s="18" t="n"/>
      <c r="G277" s="13" t="n"/>
      <c r="H277" s="13" t="n"/>
      <c r="I277" s="13" t="n"/>
      <c r="J277" s="13" t="n"/>
      <c r="K277" s="19">
        <f>IF(AND(A277="",C277="",D277=""),"",IF(A277="","Missing the date in column A",IF(OR(C277="",D277=""),IF(I277="Bracket","OK - bracket TBD","Missing a team"),IF(C277=D277,"Same team twice",IF(AND(COUNTIF(Teams!$B$5:$B$204,C277)=0,NOT(SUMPRODUCT(--ISNUMBER(SEARCH(","&amp;C277&amp;",",","&amp;SUBSTITUTE(SUBSTITUTE(Teams!$E$5:$E$204,", ",",")," ,",",")&amp;",")))&gt;0)),"Away team not on Teams tab",IF(AND(COUNTIF(Teams!$B$5:$B$204,D277)=0,NOT(SUMPRODUCT(--ISNUMBER(SEARCH(","&amp;D277&amp;",",","&amp;SUBSTITUTE(SUBSTITUTE(Teams!$E$5:$E$204,", ",",")," ,",",")&amp;",")))&gt;0)),"Home team not on Teams tab",IF(AND(E277&lt;&gt;"",F277=""),"Only one score entered",IF(AND(F277&lt;&gt;"",E277=""),"Only one score entered","OK"))))))))</f>
        <v/>
      </c>
    </row>
    <row r="278">
      <c r="A278" s="16" t="n"/>
      <c r="B278" s="17" t="n"/>
      <c r="C278" s="12" t="n"/>
      <c r="D278" s="12" t="n"/>
      <c r="E278" s="18" t="n"/>
      <c r="F278" s="18" t="n"/>
      <c r="G278" s="13" t="n"/>
      <c r="H278" s="13" t="n"/>
      <c r="I278" s="13" t="n"/>
      <c r="J278" s="13" t="n"/>
      <c r="K278" s="19">
        <f>IF(AND(A278="",C278="",D278=""),"",IF(A278="","Missing the date in column A",IF(OR(C278="",D278=""),IF(I278="Bracket","OK - bracket TBD","Missing a team"),IF(C278=D278,"Same team twice",IF(AND(COUNTIF(Teams!$B$5:$B$204,C278)=0,NOT(SUMPRODUCT(--ISNUMBER(SEARCH(","&amp;C278&amp;",",","&amp;SUBSTITUTE(SUBSTITUTE(Teams!$E$5:$E$204,", ",",")," ,",",")&amp;",")))&gt;0)),"Away team not on Teams tab",IF(AND(COUNTIF(Teams!$B$5:$B$204,D278)=0,NOT(SUMPRODUCT(--ISNUMBER(SEARCH(","&amp;D278&amp;",",","&amp;SUBSTITUTE(SUBSTITUTE(Teams!$E$5:$E$204,", ",",")," ,",",")&amp;",")))&gt;0)),"Home team not on Teams tab",IF(AND(E278&lt;&gt;"",F278=""),"Only one score entered",IF(AND(F278&lt;&gt;"",E278=""),"Only one score entered","OK"))))))))</f>
        <v/>
      </c>
    </row>
    <row r="279">
      <c r="A279" s="16" t="n"/>
      <c r="B279" s="17" t="n"/>
      <c r="C279" s="12" t="n"/>
      <c r="D279" s="12" t="n"/>
      <c r="E279" s="18" t="n"/>
      <c r="F279" s="18" t="n"/>
      <c r="G279" s="13" t="n"/>
      <c r="H279" s="13" t="n"/>
      <c r="I279" s="13" t="n"/>
      <c r="J279" s="13" t="n"/>
      <c r="K279" s="19">
        <f>IF(AND(A279="",C279="",D279=""),"",IF(A279="","Missing the date in column A",IF(OR(C279="",D279=""),IF(I279="Bracket","OK - bracket TBD","Missing a team"),IF(C279=D279,"Same team twice",IF(AND(COUNTIF(Teams!$B$5:$B$204,C279)=0,NOT(SUMPRODUCT(--ISNUMBER(SEARCH(","&amp;C279&amp;",",","&amp;SUBSTITUTE(SUBSTITUTE(Teams!$E$5:$E$204,", ",",")," ,",",")&amp;",")))&gt;0)),"Away team not on Teams tab",IF(AND(COUNTIF(Teams!$B$5:$B$204,D279)=0,NOT(SUMPRODUCT(--ISNUMBER(SEARCH(","&amp;D279&amp;",",","&amp;SUBSTITUTE(SUBSTITUTE(Teams!$E$5:$E$204,", ",",")," ,",",")&amp;",")))&gt;0)),"Home team not on Teams tab",IF(AND(E279&lt;&gt;"",F279=""),"Only one score entered",IF(AND(F279&lt;&gt;"",E279=""),"Only one score entered","OK"))))))))</f>
        <v/>
      </c>
    </row>
    <row r="280">
      <c r="A280" s="16" t="n"/>
      <c r="B280" s="17" t="n"/>
      <c r="C280" s="12" t="n"/>
      <c r="D280" s="12" t="n"/>
      <c r="E280" s="18" t="n"/>
      <c r="F280" s="18" t="n"/>
      <c r="G280" s="13" t="n"/>
      <c r="H280" s="13" t="n"/>
      <c r="I280" s="13" t="n"/>
      <c r="J280" s="13" t="n"/>
      <c r="K280" s="19">
        <f>IF(AND(A280="",C280="",D280=""),"",IF(A280="","Missing the date in column A",IF(OR(C280="",D280=""),IF(I280="Bracket","OK - bracket TBD","Missing a team"),IF(C280=D280,"Same team twice",IF(AND(COUNTIF(Teams!$B$5:$B$204,C280)=0,NOT(SUMPRODUCT(--ISNUMBER(SEARCH(","&amp;C280&amp;",",","&amp;SUBSTITUTE(SUBSTITUTE(Teams!$E$5:$E$204,", ",",")," ,",",")&amp;",")))&gt;0)),"Away team not on Teams tab",IF(AND(COUNTIF(Teams!$B$5:$B$204,D280)=0,NOT(SUMPRODUCT(--ISNUMBER(SEARCH(","&amp;D280&amp;",",","&amp;SUBSTITUTE(SUBSTITUTE(Teams!$E$5:$E$204,", ",",")," ,",",")&amp;",")))&gt;0)),"Home team not on Teams tab",IF(AND(E280&lt;&gt;"",F280=""),"Only one score entered",IF(AND(F280&lt;&gt;"",E280=""),"Only one score entered","OK"))))))))</f>
        <v/>
      </c>
    </row>
    <row r="281">
      <c r="A281" s="16" t="n"/>
      <c r="B281" s="17" t="n"/>
      <c r="C281" s="12" t="n"/>
      <c r="D281" s="12" t="n"/>
      <c r="E281" s="18" t="n"/>
      <c r="F281" s="18" t="n"/>
      <c r="G281" s="13" t="n"/>
      <c r="H281" s="13" t="n"/>
      <c r="I281" s="13" t="n"/>
      <c r="J281" s="13" t="n"/>
      <c r="K281" s="19">
        <f>IF(AND(A281="",C281="",D281=""),"",IF(A281="","Missing the date in column A",IF(OR(C281="",D281=""),IF(I281="Bracket","OK - bracket TBD","Missing a team"),IF(C281=D281,"Same team twice",IF(AND(COUNTIF(Teams!$B$5:$B$204,C281)=0,NOT(SUMPRODUCT(--ISNUMBER(SEARCH(","&amp;C281&amp;",",","&amp;SUBSTITUTE(SUBSTITUTE(Teams!$E$5:$E$204,", ",",")," ,",",")&amp;",")))&gt;0)),"Away team not on Teams tab",IF(AND(COUNTIF(Teams!$B$5:$B$204,D281)=0,NOT(SUMPRODUCT(--ISNUMBER(SEARCH(","&amp;D281&amp;",",","&amp;SUBSTITUTE(SUBSTITUTE(Teams!$E$5:$E$204,", ",",")," ,",",")&amp;",")))&gt;0)),"Home team not on Teams tab",IF(AND(E281&lt;&gt;"",F281=""),"Only one score entered",IF(AND(F281&lt;&gt;"",E281=""),"Only one score entered","OK"))))))))</f>
        <v/>
      </c>
    </row>
    <row r="282">
      <c r="A282" s="16" t="n"/>
      <c r="B282" s="17" t="n"/>
      <c r="C282" s="12" t="n"/>
      <c r="D282" s="12" t="n"/>
      <c r="E282" s="18" t="n"/>
      <c r="F282" s="18" t="n"/>
      <c r="G282" s="13" t="n"/>
      <c r="H282" s="13" t="n"/>
      <c r="I282" s="13" t="n"/>
      <c r="J282" s="13" t="n"/>
      <c r="K282" s="19">
        <f>IF(AND(A282="",C282="",D282=""),"",IF(A282="","Missing the date in column A",IF(OR(C282="",D282=""),IF(I282="Bracket","OK - bracket TBD","Missing a team"),IF(C282=D282,"Same team twice",IF(AND(COUNTIF(Teams!$B$5:$B$204,C282)=0,NOT(SUMPRODUCT(--ISNUMBER(SEARCH(","&amp;C282&amp;",",","&amp;SUBSTITUTE(SUBSTITUTE(Teams!$E$5:$E$204,", ",",")," ,",",")&amp;",")))&gt;0)),"Away team not on Teams tab",IF(AND(COUNTIF(Teams!$B$5:$B$204,D282)=0,NOT(SUMPRODUCT(--ISNUMBER(SEARCH(","&amp;D282&amp;",",","&amp;SUBSTITUTE(SUBSTITUTE(Teams!$E$5:$E$204,", ",",")," ,",",")&amp;",")))&gt;0)),"Home team not on Teams tab",IF(AND(E282&lt;&gt;"",F282=""),"Only one score entered",IF(AND(F282&lt;&gt;"",E282=""),"Only one score entered","OK"))))))))</f>
        <v/>
      </c>
    </row>
    <row r="283">
      <c r="A283" s="16" t="n"/>
      <c r="B283" s="17" t="n"/>
      <c r="C283" s="12" t="n"/>
      <c r="D283" s="12" t="n"/>
      <c r="E283" s="18" t="n"/>
      <c r="F283" s="18" t="n"/>
      <c r="G283" s="13" t="n"/>
      <c r="H283" s="13" t="n"/>
      <c r="I283" s="13" t="n"/>
      <c r="J283" s="13" t="n"/>
      <c r="K283" s="19">
        <f>IF(AND(A283="",C283="",D283=""),"",IF(A283="","Missing the date in column A",IF(OR(C283="",D283=""),IF(I283="Bracket","OK - bracket TBD","Missing a team"),IF(C283=D283,"Same team twice",IF(AND(COUNTIF(Teams!$B$5:$B$204,C283)=0,NOT(SUMPRODUCT(--ISNUMBER(SEARCH(","&amp;C283&amp;",",","&amp;SUBSTITUTE(SUBSTITUTE(Teams!$E$5:$E$204,", ",",")," ,",",")&amp;",")))&gt;0)),"Away team not on Teams tab",IF(AND(COUNTIF(Teams!$B$5:$B$204,D283)=0,NOT(SUMPRODUCT(--ISNUMBER(SEARCH(","&amp;D283&amp;",",","&amp;SUBSTITUTE(SUBSTITUTE(Teams!$E$5:$E$204,", ",",")," ,",",")&amp;",")))&gt;0)),"Home team not on Teams tab",IF(AND(E283&lt;&gt;"",F283=""),"Only one score entered",IF(AND(F283&lt;&gt;"",E283=""),"Only one score entered","OK"))))))))</f>
        <v/>
      </c>
    </row>
    <row r="284">
      <c r="A284" s="16" t="n"/>
      <c r="B284" s="17" t="n"/>
      <c r="C284" s="12" t="n"/>
      <c r="D284" s="12" t="n"/>
      <c r="E284" s="18" t="n"/>
      <c r="F284" s="18" t="n"/>
      <c r="G284" s="13" t="n"/>
      <c r="H284" s="13" t="n"/>
      <c r="I284" s="13" t="n"/>
      <c r="J284" s="13" t="n"/>
      <c r="K284" s="19">
        <f>IF(AND(A284="",C284="",D284=""),"",IF(A284="","Missing the date in column A",IF(OR(C284="",D284=""),IF(I284="Bracket","OK - bracket TBD","Missing a team"),IF(C284=D284,"Same team twice",IF(AND(COUNTIF(Teams!$B$5:$B$204,C284)=0,NOT(SUMPRODUCT(--ISNUMBER(SEARCH(","&amp;C284&amp;",",","&amp;SUBSTITUTE(SUBSTITUTE(Teams!$E$5:$E$204,", ",",")," ,",",")&amp;",")))&gt;0)),"Away team not on Teams tab",IF(AND(COUNTIF(Teams!$B$5:$B$204,D284)=0,NOT(SUMPRODUCT(--ISNUMBER(SEARCH(","&amp;D284&amp;",",","&amp;SUBSTITUTE(SUBSTITUTE(Teams!$E$5:$E$204,", ",",")," ,",",")&amp;",")))&gt;0)),"Home team not on Teams tab",IF(AND(E284&lt;&gt;"",F284=""),"Only one score entered",IF(AND(F284&lt;&gt;"",E284=""),"Only one score entered","OK"))))))))</f>
        <v/>
      </c>
    </row>
    <row r="285">
      <c r="A285" s="16" t="n"/>
      <c r="B285" s="17" t="n"/>
      <c r="C285" s="12" t="n"/>
      <c r="D285" s="12" t="n"/>
      <c r="E285" s="18" t="n"/>
      <c r="F285" s="18" t="n"/>
      <c r="G285" s="13" t="n"/>
      <c r="H285" s="13" t="n"/>
      <c r="I285" s="13" t="n"/>
      <c r="J285" s="13" t="n"/>
      <c r="K285" s="19">
        <f>IF(AND(A285="",C285="",D285=""),"",IF(A285="","Missing the date in column A",IF(OR(C285="",D285=""),IF(I285="Bracket","OK - bracket TBD","Missing a team"),IF(C285=D285,"Same team twice",IF(AND(COUNTIF(Teams!$B$5:$B$204,C285)=0,NOT(SUMPRODUCT(--ISNUMBER(SEARCH(","&amp;C285&amp;",",","&amp;SUBSTITUTE(SUBSTITUTE(Teams!$E$5:$E$204,", ",",")," ,",",")&amp;",")))&gt;0)),"Away team not on Teams tab",IF(AND(COUNTIF(Teams!$B$5:$B$204,D285)=0,NOT(SUMPRODUCT(--ISNUMBER(SEARCH(","&amp;D285&amp;",",","&amp;SUBSTITUTE(SUBSTITUTE(Teams!$E$5:$E$204,", ",",")," ,",",")&amp;",")))&gt;0)),"Home team not on Teams tab",IF(AND(E285&lt;&gt;"",F285=""),"Only one score entered",IF(AND(F285&lt;&gt;"",E285=""),"Only one score entered","OK"))))))))</f>
        <v/>
      </c>
    </row>
    <row r="286">
      <c r="A286" s="16" t="n"/>
      <c r="B286" s="17" t="n"/>
      <c r="C286" s="12" t="n"/>
      <c r="D286" s="12" t="n"/>
      <c r="E286" s="18" t="n"/>
      <c r="F286" s="18" t="n"/>
      <c r="G286" s="13" t="n"/>
      <c r="H286" s="13" t="n"/>
      <c r="I286" s="13" t="n"/>
      <c r="J286" s="13" t="n"/>
      <c r="K286" s="19">
        <f>IF(AND(A286="",C286="",D286=""),"",IF(A286="","Missing the date in column A",IF(OR(C286="",D286=""),IF(I286="Bracket","OK - bracket TBD","Missing a team"),IF(C286=D286,"Same team twice",IF(AND(COUNTIF(Teams!$B$5:$B$204,C286)=0,NOT(SUMPRODUCT(--ISNUMBER(SEARCH(","&amp;C286&amp;",",","&amp;SUBSTITUTE(SUBSTITUTE(Teams!$E$5:$E$204,", ",",")," ,",",")&amp;",")))&gt;0)),"Away team not on Teams tab",IF(AND(COUNTIF(Teams!$B$5:$B$204,D286)=0,NOT(SUMPRODUCT(--ISNUMBER(SEARCH(","&amp;D286&amp;",",","&amp;SUBSTITUTE(SUBSTITUTE(Teams!$E$5:$E$204,", ",",")," ,",",")&amp;",")))&gt;0)),"Home team not on Teams tab",IF(AND(E286&lt;&gt;"",F286=""),"Only one score entered",IF(AND(F286&lt;&gt;"",E286=""),"Only one score entered","OK"))))))))</f>
        <v/>
      </c>
    </row>
    <row r="287">
      <c r="A287" s="16" t="n"/>
      <c r="B287" s="17" t="n"/>
      <c r="C287" s="12" t="n"/>
      <c r="D287" s="12" t="n"/>
      <c r="E287" s="18" t="n"/>
      <c r="F287" s="18" t="n"/>
      <c r="G287" s="13" t="n"/>
      <c r="H287" s="13" t="n"/>
      <c r="I287" s="13" t="n"/>
      <c r="J287" s="13" t="n"/>
      <c r="K287" s="19">
        <f>IF(AND(A287="",C287="",D287=""),"",IF(A287="","Missing the date in column A",IF(OR(C287="",D287=""),IF(I287="Bracket","OK - bracket TBD","Missing a team"),IF(C287=D287,"Same team twice",IF(AND(COUNTIF(Teams!$B$5:$B$204,C287)=0,NOT(SUMPRODUCT(--ISNUMBER(SEARCH(","&amp;C287&amp;",",","&amp;SUBSTITUTE(SUBSTITUTE(Teams!$E$5:$E$204,", ",",")," ,",",")&amp;",")))&gt;0)),"Away team not on Teams tab",IF(AND(COUNTIF(Teams!$B$5:$B$204,D287)=0,NOT(SUMPRODUCT(--ISNUMBER(SEARCH(","&amp;D287&amp;",",","&amp;SUBSTITUTE(SUBSTITUTE(Teams!$E$5:$E$204,", ",",")," ,",",")&amp;",")))&gt;0)),"Home team not on Teams tab",IF(AND(E287&lt;&gt;"",F287=""),"Only one score entered",IF(AND(F287&lt;&gt;"",E287=""),"Only one score entered","OK"))))))))</f>
        <v/>
      </c>
    </row>
    <row r="288">
      <c r="A288" s="16" t="n"/>
      <c r="B288" s="17" t="n"/>
      <c r="C288" s="12" t="n"/>
      <c r="D288" s="12" t="n"/>
      <c r="E288" s="18" t="n"/>
      <c r="F288" s="18" t="n"/>
      <c r="G288" s="13" t="n"/>
      <c r="H288" s="13" t="n"/>
      <c r="I288" s="13" t="n"/>
      <c r="J288" s="13" t="n"/>
      <c r="K288" s="19">
        <f>IF(AND(A288="",C288="",D288=""),"",IF(A288="","Missing the date in column A",IF(OR(C288="",D288=""),IF(I288="Bracket","OK - bracket TBD","Missing a team"),IF(C288=D288,"Same team twice",IF(AND(COUNTIF(Teams!$B$5:$B$204,C288)=0,NOT(SUMPRODUCT(--ISNUMBER(SEARCH(","&amp;C288&amp;",",","&amp;SUBSTITUTE(SUBSTITUTE(Teams!$E$5:$E$204,", ",",")," ,",",")&amp;",")))&gt;0)),"Away team not on Teams tab",IF(AND(COUNTIF(Teams!$B$5:$B$204,D288)=0,NOT(SUMPRODUCT(--ISNUMBER(SEARCH(","&amp;D288&amp;",",","&amp;SUBSTITUTE(SUBSTITUTE(Teams!$E$5:$E$204,", ",",")," ,",",")&amp;",")))&gt;0)),"Home team not on Teams tab",IF(AND(E288&lt;&gt;"",F288=""),"Only one score entered",IF(AND(F288&lt;&gt;"",E288=""),"Only one score entered","OK"))))))))</f>
        <v/>
      </c>
    </row>
    <row r="289">
      <c r="A289" s="16" t="n"/>
      <c r="B289" s="17" t="n"/>
      <c r="C289" s="12" t="n"/>
      <c r="D289" s="12" t="n"/>
      <c r="E289" s="18" t="n"/>
      <c r="F289" s="18" t="n"/>
      <c r="G289" s="13" t="n"/>
      <c r="H289" s="13" t="n"/>
      <c r="I289" s="13" t="n"/>
      <c r="J289" s="13" t="n"/>
      <c r="K289" s="19">
        <f>IF(AND(A289="",C289="",D289=""),"",IF(A289="","Missing the date in column A",IF(OR(C289="",D289=""),IF(I289="Bracket","OK - bracket TBD","Missing a team"),IF(C289=D289,"Same team twice",IF(AND(COUNTIF(Teams!$B$5:$B$204,C289)=0,NOT(SUMPRODUCT(--ISNUMBER(SEARCH(","&amp;C289&amp;",",","&amp;SUBSTITUTE(SUBSTITUTE(Teams!$E$5:$E$204,", ",",")," ,",",")&amp;",")))&gt;0)),"Away team not on Teams tab",IF(AND(COUNTIF(Teams!$B$5:$B$204,D289)=0,NOT(SUMPRODUCT(--ISNUMBER(SEARCH(","&amp;D289&amp;",",","&amp;SUBSTITUTE(SUBSTITUTE(Teams!$E$5:$E$204,", ",",")," ,",",")&amp;",")))&gt;0)),"Home team not on Teams tab",IF(AND(E289&lt;&gt;"",F289=""),"Only one score entered",IF(AND(F289&lt;&gt;"",E289=""),"Only one score entered","OK"))))))))</f>
        <v/>
      </c>
    </row>
    <row r="290">
      <c r="A290" s="16" t="n"/>
      <c r="B290" s="17" t="n"/>
      <c r="C290" s="12" t="n"/>
      <c r="D290" s="12" t="n"/>
      <c r="E290" s="18" t="n"/>
      <c r="F290" s="18" t="n"/>
      <c r="G290" s="13" t="n"/>
      <c r="H290" s="13" t="n"/>
      <c r="I290" s="13" t="n"/>
      <c r="J290" s="13" t="n"/>
      <c r="K290" s="19">
        <f>IF(AND(A290="",C290="",D290=""),"",IF(A290="","Missing the date in column A",IF(OR(C290="",D290=""),IF(I290="Bracket","OK - bracket TBD","Missing a team"),IF(C290=D290,"Same team twice",IF(AND(COUNTIF(Teams!$B$5:$B$204,C290)=0,NOT(SUMPRODUCT(--ISNUMBER(SEARCH(","&amp;C290&amp;",",","&amp;SUBSTITUTE(SUBSTITUTE(Teams!$E$5:$E$204,", ",",")," ,",",")&amp;",")))&gt;0)),"Away team not on Teams tab",IF(AND(COUNTIF(Teams!$B$5:$B$204,D290)=0,NOT(SUMPRODUCT(--ISNUMBER(SEARCH(","&amp;D290&amp;",",","&amp;SUBSTITUTE(SUBSTITUTE(Teams!$E$5:$E$204,", ",",")," ,",",")&amp;",")))&gt;0)),"Home team not on Teams tab",IF(AND(E290&lt;&gt;"",F290=""),"Only one score entered",IF(AND(F290&lt;&gt;"",E290=""),"Only one score entered","OK"))))))))</f>
        <v/>
      </c>
    </row>
    <row r="291">
      <c r="A291" s="16" t="n"/>
      <c r="B291" s="17" t="n"/>
      <c r="C291" s="12" t="n"/>
      <c r="D291" s="12" t="n"/>
      <c r="E291" s="18" t="n"/>
      <c r="F291" s="18" t="n"/>
      <c r="G291" s="13" t="n"/>
      <c r="H291" s="13" t="n"/>
      <c r="I291" s="13" t="n"/>
      <c r="J291" s="13" t="n"/>
      <c r="K291" s="19">
        <f>IF(AND(A291="",C291="",D291=""),"",IF(A291="","Missing the date in column A",IF(OR(C291="",D291=""),IF(I291="Bracket","OK - bracket TBD","Missing a team"),IF(C291=D291,"Same team twice",IF(AND(COUNTIF(Teams!$B$5:$B$204,C291)=0,NOT(SUMPRODUCT(--ISNUMBER(SEARCH(","&amp;C291&amp;",",","&amp;SUBSTITUTE(SUBSTITUTE(Teams!$E$5:$E$204,", ",",")," ,",",")&amp;",")))&gt;0)),"Away team not on Teams tab",IF(AND(COUNTIF(Teams!$B$5:$B$204,D291)=0,NOT(SUMPRODUCT(--ISNUMBER(SEARCH(","&amp;D291&amp;",",","&amp;SUBSTITUTE(SUBSTITUTE(Teams!$E$5:$E$204,", ",",")," ,",",")&amp;",")))&gt;0)),"Home team not on Teams tab",IF(AND(E291&lt;&gt;"",F291=""),"Only one score entered",IF(AND(F291&lt;&gt;"",E291=""),"Only one score entered","OK"))))))))</f>
        <v/>
      </c>
    </row>
    <row r="292">
      <c r="A292" s="16" t="n"/>
      <c r="B292" s="17" t="n"/>
      <c r="C292" s="12" t="n"/>
      <c r="D292" s="12" t="n"/>
      <c r="E292" s="18" t="n"/>
      <c r="F292" s="18" t="n"/>
      <c r="G292" s="13" t="n"/>
      <c r="H292" s="13" t="n"/>
      <c r="I292" s="13" t="n"/>
      <c r="J292" s="13" t="n"/>
      <c r="K292" s="19">
        <f>IF(AND(A292="",C292="",D292=""),"",IF(A292="","Missing the date in column A",IF(OR(C292="",D292=""),IF(I292="Bracket","OK - bracket TBD","Missing a team"),IF(C292=D292,"Same team twice",IF(AND(COUNTIF(Teams!$B$5:$B$204,C292)=0,NOT(SUMPRODUCT(--ISNUMBER(SEARCH(","&amp;C292&amp;",",","&amp;SUBSTITUTE(SUBSTITUTE(Teams!$E$5:$E$204,", ",",")," ,",",")&amp;",")))&gt;0)),"Away team not on Teams tab",IF(AND(COUNTIF(Teams!$B$5:$B$204,D292)=0,NOT(SUMPRODUCT(--ISNUMBER(SEARCH(","&amp;D292&amp;",",","&amp;SUBSTITUTE(SUBSTITUTE(Teams!$E$5:$E$204,", ",",")," ,",",")&amp;",")))&gt;0)),"Home team not on Teams tab",IF(AND(E292&lt;&gt;"",F292=""),"Only one score entered",IF(AND(F292&lt;&gt;"",E292=""),"Only one score entered","OK"))))))))</f>
        <v/>
      </c>
    </row>
    <row r="293">
      <c r="A293" s="16" t="n"/>
      <c r="B293" s="17" t="n"/>
      <c r="C293" s="12" t="n"/>
      <c r="D293" s="12" t="n"/>
      <c r="E293" s="18" t="n"/>
      <c r="F293" s="18" t="n"/>
      <c r="G293" s="13" t="n"/>
      <c r="H293" s="13" t="n"/>
      <c r="I293" s="13" t="n"/>
      <c r="J293" s="13" t="n"/>
      <c r="K293" s="19">
        <f>IF(AND(A293="",C293="",D293=""),"",IF(A293="","Missing the date in column A",IF(OR(C293="",D293=""),IF(I293="Bracket","OK - bracket TBD","Missing a team"),IF(C293=D293,"Same team twice",IF(AND(COUNTIF(Teams!$B$5:$B$204,C293)=0,NOT(SUMPRODUCT(--ISNUMBER(SEARCH(","&amp;C293&amp;",",","&amp;SUBSTITUTE(SUBSTITUTE(Teams!$E$5:$E$204,", ",",")," ,",",")&amp;",")))&gt;0)),"Away team not on Teams tab",IF(AND(COUNTIF(Teams!$B$5:$B$204,D293)=0,NOT(SUMPRODUCT(--ISNUMBER(SEARCH(","&amp;D293&amp;",",","&amp;SUBSTITUTE(SUBSTITUTE(Teams!$E$5:$E$204,", ",",")," ,",",")&amp;",")))&gt;0)),"Home team not on Teams tab",IF(AND(E293&lt;&gt;"",F293=""),"Only one score entered",IF(AND(F293&lt;&gt;"",E293=""),"Only one score entered","OK"))))))))</f>
        <v/>
      </c>
    </row>
    <row r="294">
      <c r="A294" s="16" t="n"/>
      <c r="B294" s="17" t="n"/>
      <c r="C294" s="12" t="n"/>
      <c r="D294" s="12" t="n"/>
      <c r="E294" s="18" t="n"/>
      <c r="F294" s="18" t="n"/>
      <c r="G294" s="13" t="n"/>
      <c r="H294" s="13" t="n"/>
      <c r="I294" s="13" t="n"/>
      <c r="J294" s="13" t="n"/>
      <c r="K294" s="19">
        <f>IF(AND(A294="",C294="",D294=""),"",IF(A294="","Missing the date in column A",IF(OR(C294="",D294=""),IF(I294="Bracket","OK - bracket TBD","Missing a team"),IF(C294=D294,"Same team twice",IF(AND(COUNTIF(Teams!$B$5:$B$204,C294)=0,NOT(SUMPRODUCT(--ISNUMBER(SEARCH(","&amp;C294&amp;",",","&amp;SUBSTITUTE(SUBSTITUTE(Teams!$E$5:$E$204,", ",",")," ,",",")&amp;",")))&gt;0)),"Away team not on Teams tab",IF(AND(COUNTIF(Teams!$B$5:$B$204,D294)=0,NOT(SUMPRODUCT(--ISNUMBER(SEARCH(","&amp;D294&amp;",",","&amp;SUBSTITUTE(SUBSTITUTE(Teams!$E$5:$E$204,", ",",")," ,",",")&amp;",")))&gt;0)),"Home team not on Teams tab",IF(AND(E294&lt;&gt;"",F294=""),"Only one score entered",IF(AND(F294&lt;&gt;"",E294=""),"Only one score entered","OK"))))))))</f>
        <v/>
      </c>
    </row>
    <row r="295">
      <c r="A295" s="16" t="n"/>
      <c r="B295" s="17" t="n"/>
      <c r="C295" s="12" t="n"/>
      <c r="D295" s="12" t="n"/>
      <c r="E295" s="18" t="n"/>
      <c r="F295" s="18" t="n"/>
      <c r="G295" s="13" t="n"/>
      <c r="H295" s="13" t="n"/>
      <c r="I295" s="13" t="n"/>
      <c r="J295" s="13" t="n"/>
      <c r="K295" s="19">
        <f>IF(AND(A295="",C295="",D295=""),"",IF(A295="","Missing the date in column A",IF(OR(C295="",D295=""),IF(I295="Bracket","OK - bracket TBD","Missing a team"),IF(C295=D295,"Same team twice",IF(AND(COUNTIF(Teams!$B$5:$B$204,C295)=0,NOT(SUMPRODUCT(--ISNUMBER(SEARCH(","&amp;C295&amp;",",","&amp;SUBSTITUTE(SUBSTITUTE(Teams!$E$5:$E$204,", ",",")," ,",",")&amp;",")))&gt;0)),"Away team not on Teams tab",IF(AND(COUNTIF(Teams!$B$5:$B$204,D295)=0,NOT(SUMPRODUCT(--ISNUMBER(SEARCH(","&amp;D295&amp;",",","&amp;SUBSTITUTE(SUBSTITUTE(Teams!$E$5:$E$204,", ",",")," ,",",")&amp;",")))&gt;0)),"Home team not on Teams tab",IF(AND(E295&lt;&gt;"",F295=""),"Only one score entered",IF(AND(F295&lt;&gt;"",E295=""),"Only one score entered","OK"))))))))</f>
        <v/>
      </c>
    </row>
    <row r="296">
      <c r="A296" s="16" t="n"/>
      <c r="B296" s="17" t="n"/>
      <c r="C296" s="12" t="n"/>
      <c r="D296" s="12" t="n"/>
      <c r="E296" s="18" t="n"/>
      <c r="F296" s="18" t="n"/>
      <c r="G296" s="13" t="n"/>
      <c r="H296" s="13" t="n"/>
      <c r="I296" s="13" t="n"/>
      <c r="J296" s="13" t="n"/>
      <c r="K296" s="19">
        <f>IF(AND(A296="",C296="",D296=""),"",IF(A296="","Missing the date in column A",IF(OR(C296="",D296=""),IF(I296="Bracket","OK - bracket TBD","Missing a team"),IF(C296=D296,"Same team twice",IF(AND(COUNTIF(Teams!$B$5:$B$204,C296)=0,NOT(SUMPRODUCT(--ISNUMBER(SEARCH(","&amp;C296&amp;",",","&amp;SUBSTITUTE(SUBSTITUTE(Teams!$E$5:$E$204,", ",",")," ,",",")&amp;",")))&gt;0)),"Away team not on Teams tab",IF(AND(COUNTIF(Teams!$B$5:$B$204,D296)=0,NOT(SUMPRODUCT(--ISNUMBER(SEARCH(","&amp;D296&amp;",",","&amp;SUBSTITUTE(SUBSTITUTE(Teams!$E$5:$E$204,", ",",")," ,",",")&amp;",")))&gt;0)),"Home team not on Teams tab",IF(AND(E296&lt;&gt;"",F296=""),"Only one score entered",IF(AND(F296&lt;&gt;"",E296=""),"Only one score entered","OK"))))))))</f>
        <v/>
      </c>
    </row>
    <row r="297">
      <c r="A297" s="16" t="n"/>
      <c r="B297" s="17" t="n"/>
      <c r="C297" s="12" t="n"/>
      <c r="D297" s="12" t="n"/>
      <c r="E297" s="18" t="n"/>
      <c r="F297" s="18" t="n"/>
      <c r="G297" s="13" t="n"/>
      <c r="H297" s="13" t="n"/>
      <c r="I297" s="13" t="n"/>
      <c r="J297" s="13" t="n"/>
      <c r="K297" s="19">
        <f>IF(AND(A297="",C297="",D297=""),"",IF(A297="","Missing the date in column A",IF(OR(C297="",D297=""),IF(I297="Bracket","OK - bracket TBD","Missing a team"),IF(C297=D297,"Same team twice",IF(AND(COUNTIF(Teams!$B$5:$B$204,C297)=0,NOT(SUMPRODUCT(--ISNUMBER(SEARCH(","&amp;C297&amp;",",","&amp;SUBSTITUTE(SUBSTITUTE(Teams!$E$5:$E$204,", ",",")," ,",",")&amp;",")))&gt;0)),"Away team not on Teams tab",IF(AND(COUNTIF(Teams!$B$5:$B$204,D297)=0,NOT(SUMPRODUCT(--ISNUMBER(SEARCH(","&amp;D297&amp;",",","&amp;SUBSTITUTE(SUBSTITUTE(Teams!$E$5:$E$204,", ",",")," ,",",")&amp;",")))&gt;0)),"Home team not on Teams tab",IF(AND(E297&lt;&gt;"",F297=""),"Only one score entered",IF(AND(F297&lt;&gt;"",E297=""),"Only one score entered","OK"))))))))</f>
        <v/>
      </c>
    </row>
    <row r="298">
      <c r="A298" s="16" t="n"/>
      <c r="B298" s="17" t="n"/>
      <c r="C298" s="12" t="n"/>
      <c r="D298" s="12" t="n"/>
      <c r="E298" s="18" t="n"/>
      <c r="F298" s="18" t="n"/>
      <c r="G298" s="13" t="n"/>
      <c r="H298" s="13" t="n"/>
      <c r="I298" s="13" t="n"/>
      <c r="J298" s="13" t="n"/>
      <c r="K298" s="19">
        <f>IF(AND(A298="",C298="",D298=""),"",IF(A298="","Missing the date in column A",IF(OR(C298="",D298=""),IF(I298="Bracket","OK - bracket TBD","Missing a team"),IF(C298=D298,"Same team twice",IF(AND(COUNTIF(Teams!$B$5:$B$204,C298)=0,NOT(SUMPRODUCT(--ISNUMBER(SEARCH(","&amp;C298&amp;",",","&amp;SUBSTITUTE(SUBSTITUTE(Teams!$E$5:$E$204,", ",",")," ,",",")&amp;",")))&gt;0)),"Away team not on Teams tab",IF(AND(COUNTIF(Teams!$B$5:$B$204,D298)=0,NOT(SUMPRODUCT(--ISNUMBER(SEARCH(","&amp;D298&amp;",",","&amp;SUBSTITUTE(SUBSTITUTE(Teams!$E$5:$E$204,", ",",")," ,",",")&amp;",")))&gt;0)),"Home team not on Teams tab",IF(AND(E298&lt;&gt;"",F298=""),"Only one score entered",IF(AND(F298&lt;&gt;"",E298=""),"Only one score entered","OK"))))))))</f>
        <v/>
      </c>
    </row>
    <row r="299">
      <c r="A299" s="16" t="n"/>
      <c r="B299" s="17" t="n"/>
      <c r="C299" s="12" t="n"/>
      <c r="D299" s="12" t="n"/>
      <c r="E299" s="18" t="n"/>
      <c r="F299" s="18" t="n"/>
      <c r="G299" s="13" t="n"/>
      <c r="H299" s="13" t="n"/>
      <c r="I299" s="13" t="n"/>
      <c r="J299" s="13" t="n"/>
      <c r="K299" s="19">
        <f>IF(AND(A299="",C299="",D299=""),"",IF(A299="","Missing the date in column A",IF(OR(C299="",D299=""),IF(I299="Bracket","OK - bracket TBD","Missing a team"),IF(C299=D299,"Same team twice",IF(AND(COUNTIF(Teams!$B$5:$B$204,C299)=0,NOT(SUMPRODUCT(--ISNUMBER(SEARCH(","&amp;C299&amp;",",","&amp;SUBSTITUTE(SUBSTITUTE(Teams!$E$5:$E$204,", ",",")," ,",",")&amp;",")))&gt;0)),"Away team not on Teams tab",IF(AND(COUNTIF(Teams!$B$5:$B$204,D299)=0,NOT(SUMPRODUCT(--ISNUMBER(SEARCH(","&amp;D299&amp;",",","&amp;SUBSTITUTE(SUBSTITUTE(Teams!$E$5:$E$204,", ",",")," ,",",")&amp;",")))&gt;0)),"Home team not on Teams tab",IF(AND(E299&lt;&gt;"",F299=""),"Only one score entered",IF(AND(F299&lt;&gt;"",E299=""),"Only one score entered","OK"))))))))</f>
        <v/>
      </c>
    </row>
    <row r="300">
      <c r="A300" s="16" t="n"/>
      <c r="B300" s="17" t="n"/>
      <c r="C300" s="12" t="n"/>
      <c r="D300" s="12" t="n"/>
      <c r="E300" s="18" t="n"/>
      <c r="F300" s="18" t="n"/>
      <c r="G300" s="13" t="n"/>
      <c r="H300" s="13" t="n"/>
      <c r="I300" s="13" t="n"/>
      <c r="J300" s="13" t="n"/>
      <c r="K300" s="19">
        <f>IF(AND(A300="",C300="",D300=""),"",IF(A300="","Missing the date in column A",IF(OR(C300="",D300=""),IF(I300="Bracket","OK - bracket TBD","Missing a team"),IF(C300=D300,"Same team twice",IF(AND(COUNTIF(Teams!$B$5:$B$204,C300)=0,NOT(SUMPRODUCT(--ISNUMBER(SEARCH(","&amp;C300&amp;",",","&amp;SUBSTITUTE(SUBSTITUTE(Teams!$E$5:$E$204,", ",",")," ,",",")&amp;",")))&gt;0)),"Away team not on Teams tab",IF(AND(COUNTIF(Teams!$B$5:$B$204,D300)=0,NOT(SUMPRODUCT(--ISNUMBER(SEARCH(","&amp;D300&amp;",",","&amp;SUBSTITUTE(SUBSTITUTE(Teams!$E$5:$E$204,", ",",")," ,",",")&amp;",")))&gt;0)),"Home team not on Teams tab",IF(AND(E300&lt;&gt;"",F300=""),"Only one score entered",IF(AND(F300&lt;&gt;"",E300=""),"Only one score entered","OK"))))))))</f>
        <v/>
      </c>
    </row>
    <row r="301">
      <c r="A301" s="16" t="n"/>
      <c r="B301" s="17" t="n"/>
      <c r="C301" s="12" t="n"/>
      <c r="D301" s="12" t="n"/>
      <c r="E301" s="18" t="n"/>
      <c r="F301" s="18" t="n"/>
      <c r="G301" s="13" t="n"/>
      <c r="H301" s="13" t="n"/>
      <c r="I301" s="13" t="n"/>
      <c r="J301" s="13" t="n"/>
      <c r="K301" s="19">
        <f>IF(AND(A301="",C301="",D301=""),"",IF(A301="","Missing the date in column A",IF(OR(C301="",D301=""),IF(I301="Bracket","OK - bracket TBD","Missing a team"),IF(C301=D301,"Same team twice",IF(AND(COUNTIF(Teams!$B$5:$B$204,C301)=0,NOT(SUMPRODUCT(--ISNUMBER(SEARCH(","&amp;C301&amp;",",","&amp;SUBSTITUTE(SUBSTITUTE(Teams!$E$5:$E$204,", ",",")," ,",",")&amp;",")))&gt;0)),"Away team not on Teams tab",IF(AND(COUNTIF(Teams!$B$5:$B$204,D301)=0,NOT(SUMPRODUCT(--ISNUMBER(SEARCH(","&amp;D301&amp;",",","&amp;SUBSTITUTE(SUBSTITUTE(Teams!$E$5:$E$204,", ",",")," ,",",")&amp;",")))&gt;0)),"Home team not on Teams tab",IF(AND(E301&lt;&gt;"",F301=""),"Only one score entered",IF(AND(F301&lt;&gt;"",E301=""),"Only one score entered","OK"))))))))</f>
        <v/>
      </c>
    </row>
    <row r="302">
      <c r="A302" s="16" t="n"/>
      <c r="B302" s="17" t="n"/>
      <c r="C302" s="12" t="n"/>
      <c r="D302" s="12" t="n"/>
      <c r="E302" s="18" t="n"/>
      <c r="F302" s="18" t="n"/>
      <c r="G302" s="13" t="n"/>
      <c r="H302" s="13" t="n"/>
      <c r="I302" s="13" t="n"/>
      <c r="J302" s="13" t="n"/>
      <c r="K302" s="19">
        <f>IF(AND(A302="",C302="",D302=""),"",IF(A302="","Missing the date in column A",IF(OR(C302="",D302=""),IF(I302="Bracket","OK - bracket TBD","Missing a team"),IF(C302=D302,"Same team twice",IF(AND(COUNTIF(Teams!$B$5:$B$204,C302)=0,NOT(SUMPRODUCT(--ISNUMBER(SEARCH(","&amp;C302&amp;",",","&amp;SUBSTITUTE(SUBSTITUTE(Teams!$E$5:$E$204,", ",",")," ,",",")&amp;",")))&gt;0)),"Away team not on Teams tab",IF(AND(COUNTIF(Teams!$B$5:$B$204,D302)=0,NOT(SUMPRODUCT(--ISNUMBER(SEARCH(","&amp;D302&amp;",",","&amp;SUBSTITUTE(SUBSTITUTE(Teams!$E$5:$E$204,", ",",")," ,",",")&amp;",")))&gt;0)),"Home team not on Teams tab",IF(AND(E302&lt;&gt;"",F302=""),"Only one score entered",IF(AND(F302&lt;&gt;"",E302=""),"Only one score entered","OK"))))))))</f>
        <v/>
      </c>
    </row>
    <row r="303">
      <c r="A303" s="16" t="n"/>
      <c r="B303" s="17" t="n"/>
      <c r="C303" s="12" t="n"/>
      <c r="D303" s="12" t="n"/>
      <c r="E303" s="18" t="n"/>
      <c r="F303" s="18" t="n"/>
      <c r="G303" s="13" t="n"/>
      <c r="H303" s="13" t="n"/>
      <c r="I303" s="13" t="n"/>
      <c r="J303" s="13" t="n"/>
      <c r="K303" s="19">
        <f>IF(AND(A303="",C303="",D303=""),"",IF(A303="","Missing the date in column A",IF(OR(C303="",D303=""),IF(I303="Bracket","OK - bracket TBD","Missing a team"),IF(C303=D303,"Same team twice",IF(AND(COUNTIF(Teams!$B$5:$B$204,C303)=0,NOT(SUMPRODUCT(--ISNUMBER(SEARCH(","&amp;C303&amp;",",","&amp;SUBSTITUTE(SUBSTITUTE(Teams!$E$5:$E$204,", ",",")," ,",",")&amp;",")))&gt;0)),"Away team not on Teams tab",IF(AND(COUNTIF(Teams!$B$5:$B$204,D303)=0,NOT(SUMPRODUCT(--ISNUMBER(SEARCH(","&amp;D303&amp;",",","&amp;SUBSTITUTE(SUBSTITUTE(Teams!$E$5:$E$204,", ",",")," ,",",")&amp;",")))&gt;0)),"Home team not on Teams tab",IF(AND(E303&lt;&gt;"",F303=""),"Only one score entered",IF(AND(F303&lt;&gt;"",E303=""),"Only one score entered","OK"))))))))</f>
        <v/>
      </c>
    </row>
    <row r="304">
      <c r="A304" s="16" t="n"/>
      <c r="B304" s="17" t="n"/>
      <c r="C304" s="12" t="n"/>
      <c r="D304" s="12" t="n"/>
      <c r="E304" s="18" t="n"/>
      <c r="F304" s="18" t="n"/>
      <c r="G304" s="13" t="n"/>
      <c r="H304" s="13" t="n"/>
      <c r="I304" s="13" t="n"/>
      <c r="J304" s="13" t="n"/>
      <c r="K304" s="19">
        <f>IF(AND(A304="",C304="",D304=""),"",IF(A304="","Missing the date in column A",IF(OR(C304="",D304=""),IF(I304="Bracket","OK - bracket TBD","Missing a team"),IF(C304=D304,"Same team twice",IF(AND(COUNTIF(Teams!$B$5:$B$204,C304)=0,NOT(SUMPRODUCT(--ISNUMBER(SEARCH(","&amp;C304&amp;",",","&amp;SUBSTITUTE(SUBSTITUTE(Teams!$E$5:$E$204,", ",",")," ,",",")&amp;",")))&gt;0)),"Away team not on Teams tab",IF(AND(COUNTIF(Teams!$B$5:$B$204,D304)=0,NOT(SUMPRODUCT(--ISNUMBER(SEARCH(","&amp;D304&amp;",",","&amp;SUBSTITUTE(SUBSTITUTE(Teams!$E$5:$E$204,", ",",")," ,",",")&amp;",")))&gt;0)),"Home team not on Teams tab",IF(AND(E304&lt;&gt;"",F304=""),"Only one score entered",IF(AND(F304&lt;&gt;"",E304=""),"Only one score entered","OK"))))))))</f>
        <v/>
      </c>
    </row>
  </sheetData>
  <autoFilter ref="A4:K304"/>
  <conditionalFormatting sqref="A2">
    <cfRule type="expression" priority="1" dxfId="0">
      <formula>LEFT($A$2,3)="All"</formula>
    </cfRule>
    <cfRule type="expression" priority="2" dxfId="2">
      <formula>LEFT($A$2,2)="No"</formula>
    </cfRule>
    <cfRule type="expression" priority="3" dxfId="1">
      <formula>AND(LEFT($A$2,3)&lt;&gt;"All",LEFT($A$2,2)&lt;&gt;"No")</formula>
    </cfRule>
  </conditionalFormatting>
  <conditionalFormatting sqref="A5:A304">
    <cfRule type="expression" priority="4" dxfId="1">
      <formula>AND($C5&lt;&gt;"",$A5="")</formula>
    </cfRule>
  </conditionalFormatting>
  <conditionalFormatting sqref="K5:K304">
    <cfRule type="expression" priority="5" dxfId="1">
      <formula>AND($K5&lt;&gt;"",LEFT($K5,2)&lt;&gt;"OK")</formula>
    </cfRule>
    <cfRule type="expression" priority="6" dxfId="0">
      <formula>LEFT($K5,2)="OK"</formula>
    </cfRule>
  </conditionalFormatting>
  <conditionalFormatting sqref="E5:F304">
    <cfRule type="expression" priority="7" dxfId="2">
      <formula>AND(COUNT($E5:$F5)=1,$C5&lt;&gt;"")</formula>
    </cfRule>
  </conditionalFormatting>
  <dataValidations count="3">
    <dataValidation sqref="C5:C304 D5:D304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=Teams!$B$5:$B$204</formula1>
    </dataValidation>
    <dataValidation sqref="I5:I304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"Pool,Bracket,League,Exhibition"</formula1>
    </dataValidation>
    <dataValidation sqref="G5:G304" showDropDown="0" showInputMessage="0" showErrorMessage="0" allowBlank="1" errorTitle="Not on the Rinks tab" error="Not one of the rinks listed on the Rinks tab. You can keep it — this is a heads-up, not a wall. Add it to the Rinks tab to get it in the dropdown." type="list" errorStyle="warning">
      <formula1>=Rinks!$B$5:$B$104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2026-08-27T19:38:45Z</dcterms:created>
  <dcterms:modified xmlns:dcterms="http://purl.org/dc/terms/" xmlns:xsi="http://www.w3.org/2001/XMLSchema-instance" xsi:type="dcterms:W3CDTF">2026-08-27T19:38:46Z</dcterms:modified>
</cp:coreProperties>
</file>